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nequityAversionPricing\IAP_20250728\2_result_Sensitivity\"/>
    </mc:Choice>
  </mc:AlternateContent>
  <xr:revisionPtr revIDLastSave="0" documentId="13_ncr:9_{069E9C98-5FE0-4D70-B8EC-441EEAFF5500}" xr6:coauthVersionLast="47" xr6:coauthVersionMax="47" xr10:uidLastSave="{00000000-0000-0000-0000-000000000000}"/>
  <bookViews>
    <workbookView xWindow="-110" yWindow="-110" windowWidth="19420" windowHeight="10300" xr2:uid="{E99358FB-036D-466F-A7AA-F10F5251D030}"/>
  </bookViews>
  <sheets>
    <sheet name="summary_NLCC_9_logSum50" sheetId="10" r:id="rId1"/>
    <sheet name="summary_NLCC_5_logSum50" sheetId="9" r:id="rId2"/>
    <sheet name="summary_NLCC_3_logSum50" sheetId="7" r:id="rId3"/>
    <sheet name="summary_NLCC_4_logSum50" sheetId="8" r:id="rId4"/>
    <sheet name="summary_NLCC_2_logSum50" sheetId="6" r:id="rId5"/>
    <sheet name="summary_NLCC_0_logSum50" sheetId="1" r:id="rId6"/>
    <sheet name="summary_NLCC_8_logSum50" sheetId="5" r:id="rId7"/>
    <sheet name="summary_NLCC_7_logSum50" sheetId="4" r:id="rId8"/>
    <sheet name="summary_NLCC_6_logSum50" sheetId="3" r:id="rId9"/>
    <sheet name="summary_NLCC_1_logSum50" sheetId="2" r:id="rId10"/>
  </sheets>
  <calcPr calcId="0"/>
</workbook>
</file>

<file path=xl/calcChain.xml><?xml version="1.0" encoding="utf-8"?>
<calcChain xmlns="http://schemas.openxmlformats.org/spreadsheetml/2006/main">
  <c r="F53" i="9" l="1"/>
  <c r="F54" i="9"/>
  <c r="F55" i="9"/>
  <c r="F56" i="9"/>
  <c r="F57" i="9"/>
  <c r="F47" i="9"/>
  <c r="F46" i="9"/>
  <c r="F44" i="9"/>
  <c r="F40" i="9"/>
  <c r="F28" i="9"/>
  <c r="F16" i="9"/>
  <c r="F9" i="9"/>
  <c r="F3" i="9"/>
  <c r="F53" i="10"/>
  <c r="F54" i="10"/>
  <c r="F55" i="10"/>
  <c r="F56" i="10"/>
  <c r="F57" i="10"/>
  <c r="F49" i="10"/>
  <c r="F48" i="10"/>
  <c r="F45" i="10"/>
  <c r="F43" i="10"/>
  <c r="F42" i="10"/>
  <c r="F37" i="10"/>
  <c r="F36" i="10"/>
  <c r="F35" i="10"/>
  <c r="F33" i="10"/>
  <c r="F31" i="10"/>
  <c r="F30" i="10"/>
  <c r="F28" i="10"/>
  <c r="F26" i="10"/>
  <c r="F24" i="10"/>
  <c r="F23" i="10"/>
  <c r="F22" i="10"/>
  <c r="F18" i="10"/>
  <c r="F15" i="10"/>
  <c r="F14" i="10"/>
  <c r="F13" i="10"/>
  <c r="F4" i="10"/>
  <c r="E51" i="10"/>
  <c r="D51" i="10"/>
  <c r="C51" i="10"/>
  <c r="B51" i="10"/>
  <c r="A51" i="10"/>
  <c r="E50" i="10"/>
  <c r="D50" i="10"/>
  <c r="C50" i="10"/>
  <c r="B50" i="10"/>
  <c r="A50" i="10"/>
  <c r="E49" i="10"/>
  <c r="D49" i="10"/>
  <c r="C49" i="10"/>
  <c r="B49" i="10"/>
  <c r="A49" i="10"/>
  <c r="E48" i="10"/>
  <c r="D48" i="10"/>
  <c r="C48" i="10"/>
  <c r="B48" i="10"/>
  <c r="A48" i="10"/>
  <c r="E47" i="10"/>
  <c r="D47" i="10"/>
  <c r="C47" i="10"/>
  <c r="B47" i="10"/>
  <c r="A47" i="10"/>
  <c r="E46" i="10"/>
  <c r="D46" i="10"/>
  <c r="C46" i="10"/>
  <c r="B46" i="10"/>
  <c r="A46" i="10"/>
  <c r="E45" i="10"/>
  <c r="D45" i="10"/>
  <c r="C45" i="10"/>
  <c r="B45" i="10"/>
  <c r="A45" i="10"/>
  <c r="E44" i="10"/>
  <c r="D44" i="10"/>
  <c r="C44" i="10"/>
  <c r="B44" i="10"/>
  <c r="A44" i="10"/>
  <c r="E43" i="10"/>
  <c r="D43" i="10"/>
  <c r="C43" i="10"/>
  <c r="B43" i="10"/>
  <c r="A43" i="10"/>
  <c r="E42" i="10"/>
  <c r="D42" i="10"/>
  <c r="C42" i="10"/>
  <c r="B42" i="10"/>
  <c r="A42" i="10"/>
  <c r="E41" i="10"/>
  <c r="D41" i="10"/>
  <c r="C41" i="10"/>
  <c r="B41" i="10"/>
  <c r="A41" i="10"/>
  <c r="E40" i="10"/>
  <c r="D40" i="10"/>
  <c r="C40" i="10"/>
  <c r="B40" i="10"/>
  <c r="A40" i="10"/>
  <c r="E39" i="10"/>
  <c r="D39" i="10"/>
  <c r="C39" i="10"/>
  <c r="B39" i="10"/>
  <c r="A39" i="10"/>
  <c r="E38" i="10"/>
  <c r="D38" i="10"/>
  <c r="C38" i="10"/>
  <c r="B38" i="10"/>
  <c r="A38" i="10"/>
  <c r="E37" i="10"/>
  <c r="D37" i="10"/>
  <c r="C37" i="10"/>
  <c r="B37" i="10"/>
  <c r="A37" i="10"/>
  <c r="E36" i="10"/>
  <c r="D36" i="10"/>
  <c r="C36" i="10"/>
  <c r="B36" i="10"/>
  <c r="A36" i="10"/>
  <c r="E35" i="10"/>
  <c r="D35" i="10"/>
  <c r="C35" i="10"/>
  <c r="B35" i="10"/>
  <c r="A35" i="10"/>
  <c r="E34" i="10"/>
  <c r="D34" i="10"/>
  <c r="C34" i="10"/>
  <c r="B34" i="10"/>
  <c r="A34" i="10"/>
  <c r="E33" i="10"/>
  <c r="D33" i="10"/>
  <c r="C33" i="10"/>
  <c r="B33" i="10"/>
  <c r="A33" i="10"/>
  <c r="E32" i="10"/>
  <c r="D32" i="10"/>
  <c r="C32" i="10"/>
  <c r="B32" i="10"/>
  <c r="A32" i="10"/>
  <c r="E31" i="10"/>
  <c r="D31" i="10"/>
  <c r="C31" i="10"/>
  <c r="B31" i="10"/>
  <c r="A31" i="10"/>
  <c r="E30" i="10"/>
  <c r="D30" i="10"/>
  <c r="C30" i="10"/>
  <c r="B30" i="10"/>
  <c r="A30" i="10"/>
  <c r="E29" i="10"/>
  <c r="D29" i="10"/>
  <c r="C29" i="10"/>
  <c r="B29" i="10"/>
  <c r="A29" i="10"/>
  <c r="E28" i="10"/>
  <c r="D28" i="10"/>
  <c r="C28" i="10"/>
  <c r="B28" i="10"/>
  <c r="A28" i="10"/>
  <c r="E27" i="10"/>
  <c r="D27" i="10"/>
  <c r="C27" i="10"/>
  <c r="B27" i="10"/>
  <c r="A27" i="10"/>
  <c r="E26" i="10"/>
  <c r="D26" i="10"/>
  <c r="C26" i="10"/>
  <c r="B26" i="10"/>
  <c r="A26" i="10"/>
  <c r="E25" i="10"/>
  <c r="D25" i="10"/>
  <c r="C25" i="10"/>
  <c r="B25" i="10"/>
  <c r="A25" i="10"/>
  <c r="E24" i="10"/>
  <c r="D24" i="10"/>
  <c r="C24" i="10"/>
  <c r="B24" i="10"/>
  <c r="A24" i="10"/>
  <c r="E23" i="10"/>
  <c r="D23" i="10"/>
  <c r="C23" i="10"/>
  <c r="B23" i="10"/>
  <c r="A23" i="10"/>
  <c r="E22" i="10"/>
  <c r="D22" i="10"/>
  <c r="C22" i="10"/>
  <c r="B22" i="10"/>
  <c r="A22" i="10"/>
  <c r="E21" i="10"/>
  <c r="D21" i="10"/>
  <c r="C21" i="10"/>
  <c r="B21" i="10"/>
  <c r="A21" i="10"/>
  <c r="E20" i="10"/>
  <c r="D20" i="10"/>
  <c r="C20" i="10"/>
  <c r="B20" i="10"/>
  <c r="A20" i="10"/>
  <c r="E19" i="10"/>
  <c r="D19" i="10"/>
  <c r="C19" i="10"/>
  <c r="B19" i="10"/>
  <c r="A19" i="10"/>
  <c r="E18" i="10"/>
  <c r="D18" i="10"/>
  <c r="C18" i="10"/>
  <c r="B18" i="10"/>
  <c r="A18" i="10"/>
  <c r="E17" i="10"/>
  <c r="D17" i="10"/>
  <c r="C17" i="10"/>
  <c r="B17" i="10"/>
  <c r="A17" i="10"/>
  <c r="E16" i="10"/>
  <c r="D16" i="10"/>
  <c r="C16" i="10"/>
  <c r="B16" i="10"/>
  <c r="A16" i="10"/>
  <c r="E15" i="10"/>
  <c r="D15" i="10"/>
  <c r="C15" i="10"/>
  <c r="B15" i="10"/>
  <c r="A15" i="10"/>
  <c r="E14" i="10"/>
  <c r="D14" i="10"/>
  <c r="C14" i="10"/>
  <c r="B14" i="10"/>
  <c r="A14" i="10"/>
  <c r="E13" i="10"/>
  <c r="D13" i="10"/>
  <c r="C13" i="10"/>
  <c r="B13" i="10"/>
  <c r="A13" i="10"/>
  <c r="E12" i="10"/>
  <c r="D12" i="10"/>
  <c r="C12" i="10"/>
  <c r="B12" i="10"/>
  <c r="A12" i="10"/>
  <c r="E11" i="10"/>
  <c r="D11" i="10"/>
  <c r="C11" i="10"/>
  <c r="B11" i="10"/>
  <c r="A11" i="10"/>
  <c r="E10" i="10"/>
  <c r="D10" i="10"/>
  <c r="C10" i="10"/>
  <c r="B10" i="10"/>
  <c r="A10" i="10"/>
  <c r="E9" i="10"/>
  <c r="D9" i="10"/>
  <c r="C9" i="10"/>
  <c r="B9" i="10"/>
  <c r="A9" i="10"/>
  <c r="E8" i="10"/>
  <c r="D8" i="10"/>
  <c r="C8" i="10"/>
  <c r="B8" i="10"/>
  <c r="A8" i="10"/>
  <c r="E7" i="10"/>
  <c r="D7" i="10"/>
  <c r="C7" i="10"/>
  <c r="B7" i="10"/>
  <c r="A7" i="10"/>
  <c r="E6" i="10"/>
  <c r="D6" i="10"/>
  <c r="C6" i="10"/>
  <c r="B6" i="10"/>
  <c r="A6" i="10"/>
  <c r="E5" i="10"/>
  <c r="D5" i="10"/>
  <c r="C5" i="10"/>
  <c r="B5" i="10"/>
  <c r="A5" i="10"/>
  <c r="E4" i="10"/>
  <c r="D4" i="10"/>
  <c r="C4" i="10"/>
  <c r="B4" i="10"/>
  <c r="A4" i="10"/>
  <c r="E3" i="10"/>
  <c r="D3" i="10"/>
  <c r="C3" i="10"/>
  <c r="B3" i="10"/>
  <c r="A3" i="10"/>
  <c r="E2" i="10"/>
  <c r="D2" i="10"/>
  <c r="C2" i="10"/>
  <c r="C54" i="10" s="1"/>
  <c r="B2" i="10"/>
  <c r="A2" i="10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E12" i="9"/>
  <c r="D12" i="9"/>
  <c r="C12" i="9"/>
  <c r="B12" i="9"/>
  <c r="A12" i="9"/>
  <c r="E11" i="9"/>
  <c r="D11" i="9"/>
  <c r="C11" i="9"/>
  <c r="B11" i="9"/>
  <c r="A11" i="9"/>
  <c r="E10" i="9"/>
  <c r="D10" i="9"/>
  <c r="C10" i="9"/>
  <c r="B10" i="9"/>
  <c r="A10" i="9"/>
  <c r="E9" i="9"/>
  <c r="D9" i="9"/>
  <c r="C9" i="9"/>
  <c r="B9" i="9"/>
  <c r="A9" i="9"/>
  <c r="E8" i="9"/>
  <c r="D8" i="9"/>
  <c r="C8" i="9"/>
  <c r="B8" i="9"/>
  <c r="A8" i="9"/>
  <c r="E7" i="9"/>
  <c r="D7" i="9"/>
  <c r="C7" i="9"/>
  <c r="B7" i="9"/>
  <c r="A7" i="9"/>
  <c r="E6" i="9"/>
  <c r="D6" i="9"/>
  <c r="C6" i="9"/>
  <c r="B6" i="9"/>
  <c r="A6" i="9"/>
  <c r="E5" i="9"/>
  <c r="D5" i="9"/>
  <c r="C5" i="9"/>
  <c r="B5" i="9"/>
  <c r="A5" i="9"/>
  <c r="E4" i="9"/>
  <c r="D4" i="9"/>
  <c r="C4" i="9"/>
  <c r="B4" i="9"/>
  <c r="A4" i="9"/>
  <c r="E3" i="9"/>
  <c r="D3" i="9"/>
  <c r="C3" i="9"/>
  <c r="B3" i="9"/>
  <c r="A3" i="9"/>
  <c r="E2" i="9"/>
  <c r="D2" i="9"/>
  <c r="C2" i="9"/>
  <c r="B2" i="9"/>
  <c r="A2" i="9"/>
  <c r="E51" i="8"/>
  <c r="D51" i="8"/>
  <c r="C51" i="8"/>
  <c r="B51" i="8"/>
  <c r="A51" i="8"/>
  <c r="E50" i="8"/>
  <c r="D50" i="8"/>
  <c r="C50" i="8"/>
  <c r="B50" i="8"/>
  <c r="A50" i="8"/>
  <c r="E49" i="8"/>
  <c r="D49" i="8"/>
  <c r="C49" i="8"/>
  <c r="B49" i="8"/>
  <c r="A49" i="8"/>
  <c r="E48" i="8"/>
  <c r="D48" i="8"/>
  <c r="C48" i="8"/>
  <c r="B48" i="8"/>
  <c r="A48" i="8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B44" i="8"/>
  <c r="A44" i="8"/>
  <c r="E43" i="8"/>
  <c r="D43" i="8"/>
  <c r="C43" i="8"/>
  <c r="B43" i="8"/>
  <c r="A43" i="8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E4" i="8"/>
  <c r="D4" i="8"/>
  <c r="C4" i="8"/>
  <c r="B4" i="8"/>
  <c r="A4" i="8"/>
  <c r="E3" i="8"/>
  <c r="D3" i="8"/>
  <c r="C3" i="8"/>
  <c r="B3" i="8"/>
  <c r="A3" i="8"/>
  <c r="E2" i="8"/>
  <c r="D2" i="8"/>
  <c r="C2" i="8"/>
  <c r="C54" i="8" s="1"/>
  <c r="B2" i="8"/>
  <c r="A2" i="8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B48" i="7"/>
  <c r="A48" i="7"/>
  <c r="E47" i="7"/>
  <c r="D47" i="7"/>
  <c r="C47" i="7"/>
  <c r="B47" i="7"/>
  <c r="A47" i="7"/>
  <c r="E46" i="7"/>
  <c r="D46" i="7"/>
  <c r="C46" i="7"/>
  <c r="B46" i="7"/>
  <c r="A46" i="7"/>
  <c r="E45" i="7"/>
  <c r="D45" i="7"/>
  <c r="C45" i="7"/>
  <c r="B45" i="7"/>
  <c r="A45" i="7"/>
  <c r="E44" i="7"/>
  <c r="D44" i="7"/>
  <c r="C44" i="7"/>
  <c r="B44" i="7"/>
  <c r="A44" i="7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E21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E4" i="7"/>
  <c r="D4" i="7"/>
  <c r="C4" i="7"/>
  <c r="B4" i="7"/>
  <c r="A4" i="7"/>
  <c r="E3" i="7"/>
  <c r="D3" i="7"/>
  <c r="C3" i="7"/>
  <c r="B3" i="7"/>
  <c r="A3" i="7"/>
  <c r="E2" i="7"/>
  <c r="D2" i="7"/>
  <c r="C2" i="7"/>
  <c r="C54" i="7" s="1"/>
  <c r="B2" i="7"/>
  <c r="A2" i="7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E57" i="6"/>
  <c r="E56" i="6"/>
  <c r="E55" i="6"/>
  <c r="E54" i="6"/>
  <c r="E53" i="6"/>
  <c r="A12" i="6"/>
  <c r="B12" i="6"/>
  <c r="C12" i="6"/>
  <c r="D12" i="6"/>
  <c r="E12" i="6"/>
  <c r="A13" i="6"/>
  <c r="B13" i="6"/>
  <c r="C13" i="6"/>
  <c r="D13" i="6"/>
  <c r="E13" i="6"/>
  <c r="A14" i="6"/>
  <c r="B14" i="6"/>
  <c r="C14" i="6"/>
  <c r="D14" i="6"/>
  <c r="E14" i="6"/>
  <c r="A15" i="6"/>
  <c r="B15" i="6"/>
  <c r="C15" i="6"/>
  <c r="D15" i="6"/>
  <c r="E15" i="6"/>
  <c r="A16" i="6"/>
  <c r="B16" i="6"/>
  <c r="C16" i="6"/>
  <c r="D16" i="6"/>
  <c r="E16" i="6"/>
  <c r="A17" i="6"/>
  <c r="B17" i="6"/>
  <c r="C17" i="6"/>
  <c r="D17" i="6"/>
  <c r="E17" i="6"/>
  <c r="A18" i="6"/>
  <c r="B18" i="6"/>
  <c r="C18" i="6"/>
  <c r="D18" i="6"/>
  <c r="E18" i="6"/>
  <c r="A19" i="6"/>
  <c r="B19" i="6"/>
  <c r="C19" i="6"/>
  <c r="D19" i="6"/>
  <c r="E19" i="6"/>
  <c r="A20" i="6"/>
  <c r="B20" i="6"/>
  <c r="C20" i="6"/>
  <c r="D20" i="6"/>
  <c r="E20" i="6"/>
  <c r="A21" i="6"/>
  <c r="B21" i="6"/>
  <c r="C21" i="6"/>
  <c r="D21" i="6"/>
  <c r="E21" i="6"/>
  <c r="A22" i="6"/>
  <c r="B22" i="6"/>
  <c r="C22" i="6"/>
  <c r="D22" i="6"/>
  <c r="E22" i="6"/>
  <c r="A23" i="6"/>
  <c r="B23" i="6"/>
  <c r="C23" i="6"/>
  <c r="D23" i="6"/>
  <c r="E23" i="6"/>
  <c r="A24" i="6"/>
  <c r="B24" i="6"/>
  <c r="C24" i="6"/>
  <c r="D24" i="6"/>
  <c r="E24" i="6"/>
  <c r="A25" i="6"/>
  <c r="B25" i="6"/>
  <c r="C25" i="6"/>
  <c r="D25" i="6"/>
  <c r="E25" i="6"/>
  <c r="A26" i="6"/>
  <c r="B26" i="6"/>
  <c r="C26" i="6"/>
  <c r="D26" i="6"/>
  <c r="E26" i="6"/>
  <c r="A27" i="6"/>
  <c r="B27" i="6"/>
  <c r="C27" i="6"/>
  <c r="D27" i="6"/>
  <c r="E27" i="6"/>
  <c r="A28" i="6"/>
  <c r="B28" i="6"/>
  <c r="C28" i="6"/>
  <c r="D28" i="6"/>
  <c r="E28" i="6"/>
  <c r="A29" i="6"/>
  <c r="B29" i="6"/>
  <c r="C29" i="6"/>
  <c r="D29" i="6"/>
  <c r="E29" i="6"/>
  <c r="A30" i="6"/>
  <c r="B30" i="6"/>
  <c r="C30" i="6"/>
  <c r="D30" i="6"/>
  <c r="E30" i="6"/>
  <c r="A31" i="6"/>
  <c r="B31" i="6"/>
  <c r="C31" i="6"/>
  <c r="D31" i="6"/>
  <c r="E31" i="6"/>
  <c r="A32" i="6"/>
  <c r="B32" i="6"/>
  <c r="C32" i="6"/>
  <c r="D32" i="6"/>
  <c r="E32" i="6"/>
  <c r="A33" i="6"/>
  <c r="B33" i="6"/>
  <c r="C33" i="6"/>
  <c r="D33" i="6"/>
  <c r="E33" i="6"/>
  <c r="A34" i="6"/>
  <c r="B34" i="6"/>
  <c r="C34" i="6"/>
  <c r="D34" i="6"/>
  <c r="E34" i="6"/>
  <c r="A35" i="6"/>
  <c r="B35" i="6"/>
  <c r="C35" i="6"/>
  <c r="D35" i="6"/>
  <c r="E35" i="6"/>
  <c r="A36" i="6"/>
  <c r="B36" i="6"/>
  <c r="C36" i="6"/>
  <c r="D36" i="6"/>
  <c r="E36" i="6"/>
  <c r="A37" i="6"/>
  <c r="B37" i="6"/>
  <c r="C37" i="6"/>
  <c r="D37" i="6"/>
  <c r="E37" i="6"/>
  <c r="A38" i="6"/>
  <c r="B38" i="6"/>
  <c r="C38" i="6"/>
  <c r="D38" i="6"/>
  <c r="E38" i="6"/>
  <c r="A39" i="6"/>
  <c r="B39" i="6"/>
  <c r="C39" i="6"/>
  <c r="D39" i="6"/>
  <c r="E39" i="6"/>
  <c r="A40" i="6"/>
  <c r="B40" i="6"/>
  <c r="C40" i="6"/>
  <c r="D40" i="6"/>
  <c r="E40" i="6"/>
  <c r="A41" i="6"/>
  <c r="B41" i="6"/>
  <c r="C41" i="6"/>
  <c r="D41" i="6"/>
  <c r="E41" i="6"/>
  <c r="A42" i="6"/>
  <c r="B42" i="6"/>
  <c r="C42" i="6"/>
  <c r="D42" i="6"/>
  <c r="E42" i="6"/>
  <c r="A43" i="6"/>
  <c r="B43" i="6"/>
  <c r="C43" i="6"/>
  <c r="D43" i="6"/>
  <c r="E43" i="6"/>
  <c r="A44" i="6"/>
  <c r="B44" i="6"/>
  <c r="C44" i="6"/>
  <c r="D44" i="6"/>
  <c r="E44" i="6"/>
  <c r="A45" i="6"/>
  <c r="B45" i="6"/>
  <c r="C45" i="6"/>
  <c r="D45" i="6"/>
  <c r="E45" i="6"/>
  <c r="A46" i="6"/>
  <c r="B46" i="6"/>
  <c r="C46" i="6"/>
  <c r="D46" i="6"/>
  <c r="E46" i="6"/>
  <c r="A47" i="6"/>
  <c r="B47" i="6"/>
  <c r="C47" i="6"/>
  <c r="D47" i="6"/>
  <c r="E47" i="6"/>
  <c r="A48" i="6"/>
  <c r="B48" i="6"/>
  <c r="C48" i="6"/>
  <c r="D48" i="6"/>
  <c r="E48" i="6"/>
  <c r="A49" i="6"/>
  <c r="B49" i="6"/>
  <c r="C49" i="6"/>
  <c r="D49" i="6"/>
  <c r="E49" i="6"/>
  <c r="A50" i="6"/>
  <c r="B50" i="6"/>
  <c r="C50" i="6"/>
  <c r="D50" i="6"/>
  <c r="E50" i="6"/>
  <c r="A51" i="6"/>
  <c r="B51" i="6"/>
  <c r="C51" i="6"/>
  <c r="D51" i="6"/>
  <c r="E51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E4" i="6"/>
  <c r="D4" i="6"/>
  <c r="C4" i="6"/>
  <c r="B4" i="6"/>
  <c r="A4" i="6"/>
  <c r="E3" i="6"/>
  <c r="D3" i="6"/>
  <c r="C3" i="6"/>
  <c r="B3" i="6"/>
  <c r="A3" i="6"/>
  <c r="E2" i="6"/>
  <c r="D2" i="6"/>
  <c r="C2" i="6"/>
  <c r="B2" i="6"/>
  <c r="A2" i="6"/>
  <c r="E11" i="5"/>
  <c r="D11" i="5"/>
  <c r="C11" i="5"/>
  <c r="B11" i="5"/>
  <c r="A11" i="5"/>
  <c r="E10" i="5"/>
  <c r="D10" i="5"/>
  <c r="C10" i="5"/>
  <c r="B10" i="5"/>
  <c r="A10" i="5"/>
  <c r="E9" i="5"/>
  <c r="D9" i="5"/>
  <c r="C9" i="5"/>
  <c r="B9" i="5"/>
  <c r="A9" i="5"/>
  <c r="E8" i="5"/>
  <c r="D8" i="5"/>
  <c r="C8" i="5"/>
  <c r="B8" i="5"/>
  <c r="A8" i="5"/>
  <c r="E7" i="5"/>
  <c r="D7" i="5"/>
  <c r="C7" i="5"/>
  <c r="B7" i="5"/>
  <c r="A7" i="5"/>
  <c r="E6" i="5"/>
  <c r="D6" i="5"/>
  <c r="C6" i="5"/>
  <c r="B6" i="5"/>
  <c r="A6" i="5"/>
  <c r="E5" i="5"/>
  <c r="D5" i="5"/>
  <c r="C5" i="5"/>
  <c r="B5" i="5"/>
  <c r="A5" i="5"/>
  <c r="E4" i="5"/>
  <c r="D4" i="5"/>
  <c r="C4" i="5"/>
  <c r="B4" i="5"/>
  <c r="A4" i="5"/>
  <c r="E3" i="5"/>
  <c r="D3" i="5"/>
  <c r="C3" i="5"/>
  <c r="B3" i="5"/>
  <c r="A3" i="5"/>
  <c r="E2" i="5"/>
  <c r="E17" i="5" s="1"/>
  <c r="D2" i="5"/>
  <c r="C2" i="5"/>
  <c r="B2" i="5"/>
  <c r="A2" i="5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E2" i="4"/>
  <c r="D2" i="4"/>
  <c r="C2" i="4"/>
  <c r="C14" i="4" s="1"/>
  <c r="B2" i="4"/>
  <c r="A2" i="4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C14" i="3" s="1"/>
  <c r="B2" i="3"/>
  <c r="A2" i="3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D13" i="2" s="1"/>
  <c r="C4" i="2"/>
  <c r="B4" i="2"/>
  <c r="A4" i="2"/>
  <c r="E3" i="2"/>
  <c r="D3" i="2"/>
  <c r="C3" i="2"/>
  <c r="B3" i="2"/>
  <c r="A3" i="2"/>
  <c r="E2" i="2"/>
  <c r="D2" i="2"/>
  <c r="D14" i="2" s="1"/>
  <c r="C2" i="2"/>
  <c r="B2" i="2"/>
  <c r="A2" i="2"/>
  <c r="D13" i="1"/>
  <c r="E13" i="1"/>
  <c r="D14" i="1"/>
  <c r="E14" i="1"/>
  <c r="D15" i="1"/>
  <c r="E15" i="1"/>
  <c r="D16" i="1"/>
  <c r="E16" i="1"/>
  <c r="A17" i="1"/>
  <c r="B17" i="1"/>
  <c r="C17" i="1"/>
  <c r="E17" i="1"/>
  <c r="D17" i="1"/>
  <c r="E11" i="1"/>
  <c r="E10" i="1"/>
  <c r="E9" i="1"/>
  <c r="E8" i="1"/>
  <c r="E7" i="1"/>
  <c r="E6" i="1"/>
  <c r="E5" i="1"/>
  <c r="E4" i="1"/>
  <c r="E3" i="1"/>
  <c r="E2" i="1"/>
  <c r="D11" i="1"/>
  <c r="D10" i="1"/>
  <c r="D9" i="1"/>
  <c r="D8" i="1"/>
  <c r="D7" i="1"/>
  <c r="D6" i="1"/>
  <c r="D5" i="1"/>
  <c r="D4" i="1"/>
  <c r="D3" i="1"/>
  <c r="D2" i="1"/>
  <c r="C3" i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  <c r="A3" i="1"/>
  <c r="A4" i="1"/>
  <c r="A5" i="1"/>
  <c r="A6" i="1"/>
  <c r="A7" i="1"/>
  <c r="A8" i="1"/>
  <c r="A9" i="1"/>
  <c r="A10" i="1"/>
  <c r="A11" i="1"/>
  <c r="A2" i="1"/>
  <c r="C54" i="9" l="1"/>
  <c r="B55" i="10"/>
  <c r="E56" i="10"/>
  <c r="C56" i="10"/>
  <c r="E57" i="10"/>
  <c r="B56" i="10"/>
  <c r="D54" i="10"/>
  <c r="A53" i="10"/>
  <c r="B53" i="10"/>
  <c r="E54" i="10"/>
  <c r="C53" i="10"/>
  <c r="A55" i="10"/>
  <c r="D56" i="10"/>
  <c r="E53" i="10"/>
  <c r="C55" i="10"/>
  <c r="A57" i="10"/>
  <c r="A54" i="10"/>
  <c r="D55" i="10"/>
  <c r="B57" i="10"/>
  <c r="B54" i="10"/>
  <c r="E55" i="10"/>
  <c r="C57" i="10"/>
  <c r="D53" i="10"/>
  <c r="A56" i="10"/>
  <c r="D57" i="10"/>
  <c r="B55" i="9"/>
  <c r="E56" i="9"/>
  <c r="C56" i="9"/>
  <c r="E57" i="9"/>
  <c r="B56" i="9"/>
  <c r="D54" i="9"/>
  <c r="A53" i="9"/>
  <c r="B53" i="9"/>
  <c r="E54" i="9"/>
  <c r="C53" i="9"/>
  <c r="A55" i="9"/>
  <c r="D56" i="9"/>
  <c r="E53" i="9"/>
  <c r="C55" i="9"/>
  <c r="A57" i="9"/>
  <c r="A54" i="9"/>
  <c r="D55" i="9"/>
  <c r="B57" i="9"/>
  <c r="D53" i="9"/>
  <c r="B54" i="9"/>
  <c r="E55" i="9"/>
  <c r="C57" i="9"/>
  <c r="A56" i="9"/>
  <c r="D57" i="9"/>
  <c r="B53" i="8"/>
  <c r="E54" i="8"/>
  <c r="C56" i="8"/>
  <c r="E57" i="8"/>
  <c r="B56" i="8"/>
  <c r="D54" i="8"/>
  <c r="A53" i="8"/>
  <c r="C53" i="8"/>
  <c r="A55" i="8"/>
  <c r="D56" i="8"/>
  <c r="D53" i="8"/>
  <c r="B55" i="8"/>
  <c r="E56" i="8"/>
  <c r="E53" i="8"/>
  <c r="C55" i="8"/>
  <c r="A57" i="8"/>
  <c r="A54" i="8"/>
  <c r="D55" i="8"/>
  <c r="B57" i="8"/>
  <c r="B54" i="8"/>
  <c r="E55" i="8"/>
  <c r="C57" i="8"/>
  <c r="A56" i="8"/>
  <c r="D57" i="8"/>
  <c r="B53" i="7"/>
  <c r="E54" i="7"/>
  <c r="C56" i="7"/>
  <c r="E57" i="7"/>
  <c r="B56" i="7"/>
  <c r="D54" i="7"/>
  <c r="A53" i="7"/>
  <c r="C53" i="7"/>
  <c r="A55" i="7"/>
  <c r="D56" i="7"/>
  <c r="D53" i="7"/>
  <c r="B55" i="7"/>
  <c r="E56" i="7"/>
  <c r="E53" i="7"/>
  <c r="C55" i="7"/>
  <c r="A57" i="7"/>
  <c r="A54" i="7"/>
  <c r="D55" i="7"/>
  <c r="B57" i="7"/>
  <c r="B54" i="7"/>
  <c r="E55" i="7"/>
  <c r="C57" i="7"/>
  <c r="A56" i="7"/>
  <c r="D57" i="7"/>
  <c r="B16" i="5"/>
  <c r="C14" i="5"/>
  <c r="E14" i="5"/>
  <c r="B13" i="5"/>
  <c r="C16" i="5"/>
  <c r="A13" i="5"/>
  <c r="D14" i="5"/>
  <c r="C13" i="5"/>
  <c r="A15" i="5"/>
  <c r="D16" i="5"/>
  <c r="D13" i="5"/>
  <c r="B15" i="5"/>
  <c r="E16" i="5"/>
  <c r="E13" i="5"/>
  <c r="C15" i="5"/>
  <c r="A17" i="5"/>
  <c r="A14" i="5"/>
  <c r="D15" i="5"/>
  <c r="B17" i="5"/>
  <c r="B14" i="5"/>
  <c r="E15" i="5"/>
  <c r="C17" i="5"/>
  <c r="A16" i="5"/>
  <c r="D17" i="5"/>
  <c r="E17" i="4"/>
  <c r="B15" i="4"/>
  <c r="E16" i="4"/>
  <c r="B13" i="4"/>
  <c r="E13" i="4"/>
  <c r="C15" i="4"/>
  <c r="B16" i="4"/>
  <c r="D14" i="4"/>
  <c r="A17" i="4"/>
  <c r="D13" i="4"/>
  <c r="A13" i="4"/>
  <c r="C16" i="4"/>
  <c r="E14" i="4"/>
  <c r="C13" i="4"/>
  <c r="A15" i="4"/>
  <c r="D16" i="4"/>
  <c r="A14" i="4"/>
  <c r="D15" i="4"/>
  <c r="B17" i="4"/>
  <c r="B14" i="4"/>
  <c r="E15" i="4"/>
  <c r="C17" i="4"/>
  <c r="A16" i="4"/>
  <c r="D17" i="4"/>
  <c r="B15" i="3"/>
  <c r="E16" i="3"/>
  <c r="C16" i="3"/>
  <c r="E17" i="3"/>
  <c r="B16" i="3"/>
  <c r="D14" i="3"/>
  <c r="A13" i="3"/>
  <c r="B13" i="3"/>
  <c r="E14" i="3"/>
  <c r="C13" i="3"/>
  <c r="A15" i="3"/>
  <c r="D16" i="3"/>
  <c r="E13" i="3"/>
  <c r="C15" i="3"/>
  <c r="A17" i="3"/>
  <c r="A14" i="3"/>
  <c r="D15" i="3"/>
  <c r="B17" i="3"/>
  <c r="B14" i="3"/>
  <c r="E15" i="3"/>
  <c r="C17" i="3"/>
  <c r="A16" i="3"/>
  <c r="D17" i="3"/>
  <c r="D13" i="3"/>
  <c r="E17" i="2"/>
  <c r="B15" i="2"/>
  <c r="B16" i="2"/>
  <c r="C14" i="2"/>
  <c r="E16" i="2"/>
  <c r="A13" i="2"/>
  <c r="B13" i="2"/>
  <c r="E14" i="2"/>
  <c r="C16" i="2"/>
  <c r="C13" i="2"/>
  <c r="A15" i="2"/>
  <c r="D16" i="2"/>
  <c r="E13" i="2"/>
  <c r="C15" i="2"/>
  <c r="A17" i="2"/>
  <c r="A14" i="2"/>
  <c r="D15" i="2"/>
  <c r="B17" i="2"/>
  <c r="B14" i="2"/>
  <c r="E15" i="2"/>
  <c r="C17" i="2"/>
  <c r="A16" i="2"/>
  <c r="D17" i="2"/>
  <c r="A13" i="1"/>
  <c r="B13" i="1"/>
  <c r="C16" i="1"/>
  <c r="B16" i="1"/>
  <c r="A16" i="1"/>
  <c r="B15" i="1"/>
  <c r="A15" i="1"/>
  <c r="C13" i="1"/>
  <c r="B14" i="1"/>
  <c r="C14" i="1"/>
  <c r="A14" i="1"/>
  <c r="C15" i="1"/>
</calcChain>
</file>

<file path=xl/sharedStrings.xml><?xml version="1.0" encoding="utf-8"?>
<sst xmlns="http://schemas.openxmlformats.org/spreadsheetml/2006/main" count="1680" uniqueCount="45">
  <si>
    <t>Machine</t>
  </si>
  <si>
    <t>networkID</t>
  </si>
  <si>
    <t>nodes</t>
  </si>
  <si>
    <t>edges</t>
  </si>
  <si>
    <t>products</t>
  </si>
  <si>
    <t>options</t>
  </si>
  <si>
    <t>rep</t>
  </si>
  <si>
    <t>method</t>
  </si>
  <si>
    <t>warm</t>
  </si>
  <si>
    <t>logSum</t>
  </si>
  <si>
    <t>Bounding</t>
  </si>
  <si>
    <t>Initial</t>
  </si>
  <si>
    <t>bestBd</t>
  </si>
  <si>
    <t>ILP OPT</t>
  </si>
  <si>
    <t>accurate OPT</t>
  </si>
  <si>
    <t>infeasibility</t>
  </si>
  <si>
    <t>B&amp;B</t>
  </si>
  <si>
    <t>Runtime</t>
  </si>
  <si>
    <t>Time Limit</t>
  </si>
  <si>
    <t>c0262.ten.osc.edu</t>
  </si>
  <si>
    <t>NL</t>
  </si>
  <si>
    <t>c0091.ten.osc.edu</t>
  </si>
  <si>
    <t>initial-bd(false)</t>
  </si>
  <si>
    <t>initial-bd(true)</t>
  </si>
  <si>
    <t>initial-accurate(true)</t>
  </si>
  <si>
    <t>Mean</t>
  </si>
  <si>
    <t>SE</t>
  </si>
  <si>
    <t>MAX</t>
  </si>
  <si>
    <t>min</t>
  </si>
  <si>
    <t>optimal(false)</t>
  </si>
  <si>
    <t>optimal(true)</t>
  </si>
  <si>
    <t>SUM</t>
  </si>
  <si>
    <t>c0189.ten.osc.edu</t>
  </si>
  <si>
    <t>c0263.ten.osc.edu</t>
  </si>
  <si>
    <t>c0151.ten.osc.edu</t>
  </si>
  <si>
    <t>c0166.ten.osc.edu</t>
  </si>
  <si>
    <t>c0284.ten.osc.edu</t>
  </si>
  <si>
    <t>c0285.ten.osc.edu</t>
  </si>
  <si>
    <t>c0309.ten.osc.edu</t>
  </si>
  <si>
    <t>c0261.ten.osc.edu</t>
  </si>
  <si>
    <t>c0224.ten.osc.edu</t>
  </si>
  <si>
    <t>c0222.ten.osc.edu</t>
  </si>
  <si>
    <t>c0223.ten.osc.edu</t>
  </si>
  <si>
    <t>c0277.ten.osc.edu</t>
  </si>
  <si>
    <t>c0276.ten.osc.edu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</si>
</sst>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D9C4-03B7-4480-9092-71A53A0546AB}">
  <dimension ref="A1:AU5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8.1216936383694307</v>
      </c>
      <c r="B2">
        <f>(AO2-AN2)/AN2*100</f>
        <v>1.5153083227738804</v>
      </c>
      <c r="C2">
        <f>(AQ2-AN2)/AN2*100</f>
        <v>0.17296197108490741</v>
      </c>
      <c r="D2">
        <f>IF(X2&lt;Y2,1,0)</f>
        <v>0</v>
      </c>
      <c r="E2">
        <f>IF(AT2&lt;AU2,1,0)</f>
        <v>0</v>
      </c>
      <c r="G2" t="s">
        <v>44</v>
      </c>
      <c r="H2">
        <v>9</v>
      </c>
      <c r="I2">
        <v>52</v>
      </c>
      <c r="J2">
        <v>146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2820.3034485455801</v>
      </c>
      <c r="S2">
        <v>3049.3598543088201</v>
      </c>
      <c r="T2">
        <v>2825.19234140753</v>
      </c>
      <c r="U2">
        <v>2825.1815009807601</v>
      </c>
      <c r="V2">
        <v>0</v>
      </c>
      <c r="W2">
        <v>114303882</v>
      </c>
      <c r="X2">
        <v>3600.2118489742202</v>
      </c>
      <c r="Y2">
        <v>3600</v>
      </c>
      <c r="AC2" t="s">
        <v>44</v>
      </c>
      <c r="AD2">
        <v>9</v>
      </c>
      <c r="AE2">
        <v>52</v>
      </c>
      <c r="AF2">
        <v>146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2820.3034485455801</v>
      </c>
      <c r="AO2">
        <v>2863.03974142887</v>
      </c>
      <c r="AP2">
        <v>2825.1815033705998</v>
      </c>
      <c r="AQ2">
        <v>2825.1815009807601</v>
      </c>
      <c r="AR2">
        <v>0</v>
      </c>
      <c r="AS2">
        <v>15216495</v>
      </c>
      <c r="AT2">
        <v>3601.12577795982</v>
      </c>
      <c r="AU2">
        <v>3600</v>
      </c>
    </row>
    <row r="3" spans="1:47" x14ac:dyDescent="0.35">
      <c r="A3">
        <f t="shared" ref="A3:A51" si="0">(-R3+S3)/R3*100</f>
        <v>8.5211541503766632</v>
      </c>
      <c r="B3">
        <f t="shared" ref="B3:B51" si="1">(AO3-AN3)/AN3*100</f>
        <v>0.83374364555699287</v>
      </c>
      <c r="C3">
        <f t="shared" ref="C3:C51" si="2">(AQ3-AN3)/AN3*100</f>
        <v>0.29779889364649326</v>
      </c>
      <c r="D3">
        <f t="shared" ref="D3:D51" si="3">IF(X3&lt;Y3,1,0)</f>
        <v>0</v>
      </c>
      <c r="E3">
        <f t="shared" ref="E3:E51" si="4">IF(AT3&lt;AU3,1,0)</f>
        <v>0</v>
      </c>
      <c r="G3" t="s">
        <v>44</v>
      </c>
      <c r="H3">
        <v>9</v>
      </c>
      <c r="I3">
        <v>52</v>
      </c>
      <c r="J3">
        <v>146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2792.78341056312</v>
      </c>
      <c r="S3">
        <v>3030.7607900633502</v>
      </c>
      <c r="T3">
        <v>2801.1348246279299</v>
      </c>
      <c r="U3">
        <v>2801.1002886617198</v>
      </c>
      <c r="V3">
        <v>0</v>
      </c>
      <c r="W3">
        <v>113558971</v>
      </c>
      <c r="X3">
        <v>3600.1658420562699</v>
      </c>
      <c r="Y3">
        <v>3600</v>
      </c>
      <c r="AC3" t="s">
        <v>44</v>
      </c>
      <c r="AD3">
        <v>9</v>
      </c>
      <c r="AE3">
        <v>52</v>
      </c>
      <c r="AF3">
        <v>146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2792.78341056312</v>
      </c>
      <c r="AO3">
        <v>2816.0680647828599</v>
      </c>
      <c r="AP3">
        <v>2801.1245597236598</v>
      </c>
      <c r="AQ3">
        <v>2801.1002886617198</v>
      </c>
      <c r="AR3">
        <v>0</v>
      </c>
      <c r="AS3">
        <v>17108971</v>
      </c>
      <c r="AT3">
        <v>3601.13974308967</v>
      </c>
      <c r="AU3">
        <v>3600</v>
      </c>
    </row>
    <row r="4" spans="1:47" x14ac:dyDescent="0.35">
      <c r="A4">
        <f t="shared" si="0"/>
        <v>7.034733475419312</v>
      </c>
      <c r="B4">
        <f t="shared" si="1"/>
        <v>9.2043243444364063E-3</v>
      </c>
      <c r="C4">
        <f t="shared" si="2"/>
        <v>0</v>
      </c>
      <c r="D4">
        <f t="shared" si="3"/>
        <v>0</v>
      </c>
      <c r="E4">
        <f t="shared" si="4"/>
        <v>1</v>
      </c>
      <c r="F4">
        <f>(AQ4-AN4)/AN4*100</f>
        <v>0</v>
      </c>
      <c r="G4" t="s">
        <v>44</v>
      </c>
      <c r="H4">
        <v>9</v>
      </c>
      <c r="I4">
        <v>52</v>
      </c>
      <c r="J4">
        <v>146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2920.03169784291</v>
      </c>
      <c r="S4">
        <v>3125.4481451839201</v>
      </c>
      <c r="T4">
        <v>2920.0591585417101</v>
      </c>
      <c r="U4">
        <v>2920.03169784291</v>
      </c>
      <c r="V4">
        <v>0</v>
      </c>
      <c r="W4">
        <v>111538119</v>
      </c>
      <c r="X4">
        <v>3600.14081597328</v>
      </c>
      <c r="Y4">
        <v>3600</v>
      </c>
      <c r="AC4" t="s">
        <v>44</v>
      </c>
      <c r="AD4">
        <v>9</v>
      </c>
      <c r="AE4">
        <v>52</v>
      </c>
      <c r="AF4">
        <v>146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2920.03169784291</v>
      </c>
      <c r="AO4">
        <v>2920.3004670313398</v>
      </c>
      <c r="AP4">
        <v>2920.0396896664001</v>
      </c>
      <c r="AQ4">
        <v>2920.03169784291</v>
      </c>
      <c r="AR4">
        <v>0</v>
      </c>
      <c r="AS4">
        <v>16986076</v>
      </c>
      <c r="AT4">
        <v>2433.3737819194698</v>
      </c>
      <c r="AU4">
        <v>3600</v>
      </c>
    </row>
    <row r="5" spans="1:47" x14ac:dyDescent="0.35">
      <c r="A5">
        <f t="shared" si="0"/>
        <v>8.3417331874163398</v>
      </c>
      <c r="B5">
        <f t="shared" si="1"/>
        <v>1.0240997972936725</v>
      </c>
      <c r="C5">
        <f t="shared" si="2"/>
        <v>0.74024473772300181</v>
      </c>
      <c r="D5">
        <f t="shared" si="3"/>
        <v>0</v>
      </c>
      <c r="E5">
        <f t="shared" si="4"/>
        <v>0</v>
      </c>
      <c r="G5" t="s">
        <v>44</v>
      </c>
      <c r="H5">
        <v>9</v>
      </c>
      <c r="I5">
        <v>52</v>
      </c>
      <c r="J5">
        <v>146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2778.9770720420202</v>
      </c>
      <c r="S5">
        <v>3010.7919247312402</v>
      </c>
      <c r="T5">
        <v>2799.5718940537099</v>
      </c>
      <c r="U5">
        <v>2799.54830358034</v>
      </c>
      <c r="V5">
        <v>0</v>
      </c>
      <c r="W5">
        <v>122562618</v>
      </c>
      <c r="X5">
        <v>3600.2109858989702</v>
      </c>
      <c r="Y5">
        <v>3600</v>
      </c>
      <c r="AC5" t="s">
        <v>44</v>
      </c>
      <c r="AD5">
        <v>9</v>
      </c>
      <c r="AE5">
        <v>52</v>
      </c>
      <c r="AF5">
        <v>146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2778.9770720420202</v>
      </c>
      <c r="AO5">
        <v>2807.4365706036401</v>
      </c>
      <c r="AP5">
        <v>2799.54830358034</v>
      </c>
      <c r="AQ5">
        <v>2799.54830358034</v>
      </c>
      <c r="AR5">
        <v>0</v>
      </c>
      <c r="AS5">
        <v>19182327</v>
      </c>
      <c r="AT5">
        <v>3600.5120680332102</v>
      </c>
      <c r="AU5">
        <v>3600</v>
      </c>
    </row>
    <row r="6" spans="1:47" x14ac:dyDescent="0.35">
      <c r="A6">
        <f t="shared" si="0"/>
        <v>9.5197119790883242</v>
      </c>
      <c r="B6">
        <f t="shared" si="1"/>
        <v>0.65453107244191078</v>
      </c>
      <c r="C6">
        <f t="shared" si="2"/>
        <v>6.7077027470923173E-2</v>
      </c>
      <c r="D6">
        <f t="shared" si="3"/>
        <v>0</v>
      </c>
      <c r="E6">
        <f t="shared" si="4"/>
        <v>0</v>
      </c>
      <c r="G6" t="s">
        <v>44</v>
      </c>
      <c r="H6">
        <v>9</v>
      </c>
      <c r="I6">
        <v>52</v>
      </c>
      <c r="J6">
        <v>146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2890.3151890117401</v>
      </c>
      <c r="S6">
        <v>3165.4648702935001</v>
      </c>
      <c r="T6">
        <v>2892.2983830120502</v>
      </c>
      <c r="U6">
        <v>2892.2539265250698</v>
      </c>
      <c r="V6">
        <v>0</v>
      </c>
      <c r="W6">
        <v>147400479</v>
      </c>
      <c r="X6">
        <v>3600.0566658973598</v>
      </c>
      <c r="Y6">
        <v>3600</v>
      </c>
      <c r="AC6" t="s">
        <v>44</v>
      </c>
      <c r="AD6">
        <v>9</v>
      </c>
      <c r="AE6">
        <v>52</v>
      </c>
      <c r="AF6">
        <v>146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2890.3151890117401</v>
      </c>
      <c r="AO6">
        <v>2909.2332000153301</v>
      </c>
      <c r="AP6">
        <v>2892.2983685007598</v>
      </c>
      <c r="AQ6">
        <v>2892.2539265250698</v>
      </c>
      <c r="AR6">
        <v>0</v>
      </c>
      <c r="AS6">
        <v>15774403</v>
      </c>
      <c r="AT6">
        <v>3600.8789010047899</v>
      </c>
      <c r="AU6">
        <v>3600</v>
      </c>
    </row>
    <row r="7" spans="1:47" x14ac:dyDescent="0.35">
      <c r="A7">
        <f t="shared" si="0"/>
        <v>9.6930023951093762</v>
      </c>
      <c r="B7">
        <f t="shared" si="1"/>
        <v>1.9775838703917012</v>
      </c>
      <c r="C7">
        <f t="shared" si="2"/>
        <v>0.15726461727871752</v>
      </c>
      <c r="D7">
        <f t="shared" si="3"/>
        <v>0</v>
      </c>
      <c r="E7">
        <f t="shared" si="4"/>
        <v>0</v>
      </c>
      <c r="G7" t="s">
        <v>44</v>
      </c>
      <c r="H7">
        <v>9</v>
      </c>
      <c r="I7">
        <v>52</v>
      </c>
      <c r="J7">
        <v>146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2793.28058505648</v>
      </c>
      <c r="S7">
        <v>3064.0333390681299</v>
      </c>
      <c r="T7">
        <v>2797.68330255511</v>
      </c>
      <c r="U7">
        <v>2797.6734270780898</v>
      </c>
      <c r="V7">
        <v>0</v>
      </c>
      <c r="W7">
        <v>118179173</v>
      </c>
      <c r="X7">
        <v>3600.1151270866299</v>
      </c>
      <c r="Y7">
        <v>3600</v>
      </c>
      <c r="AC7" t="s">
        <v>44</v>
      </c>
      <c r="AD7">
        <v>9</v>
      </c>
      <c r="AE7">
        <v>52</v>
      </c>
      <c r="AF7">
        <v>146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2793.28058505648</v>
      </c>
      <c r="AO7">
        <v>2848.5200513613399</v>
      </c>
      <c r="AP7">
        <v>2797.67343018374</v>
      </c>
      <c r="AQ7">
        <v>2797.6734270780898</v>
      </c>
      <c r="AR7">
        <v>0</v>
      </c>
      <c r="AS7">
        <v>15365651</v>
      </c>
      <c r="AT7">
        <v>3600.0472860336299</v>
      </c>
      <c r="AU7">
        <v>3600</v>
      </c>
    </row>
    <row r="8" spans="1:47" x14ac:dyDescent="0.35">
      <c r="A8">
        <f t="shared" si="0"/>
        <v>9.028525992008813</v>
      </c>
      <c r="B8">
        <f t="shared" si="1"/>
        <v>0.7255321894537059</v>
      </c>
      <c r="C8">
        <f t="shared" si="2"/>
        <v>0.14839303330665551</v>
      </c>
      <c r="D8">
        <f t="shared" si="3"/>
        <v>0</v>
      </c>
      <c r="E8">
        <f t="shared" si="4"/>
        <v>0</v>
      </c>
      <c r="G8" t="s">
        <v>44</v>
      </c>
      <c r="H8">
        <v>9</v>
      </c>
      <c r="I8">
        <v>52</v>
      </c>
      <c r="J8">
        <v>146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2803.3052088997401</v>
      </c>
      <c r="S8">
        <v>3056.4023483205901</v>
      </c>
      <c r="T8">
        <v>2807.4886514165601</v>
      </c>
      <c r="U8">
        <v>2807.4651185320699</v>
      </c>
      <c r="V8">
        <v>0</v>
      </c>
      <c r="W8">
        <v>107690100</v>
      </c>
      <c r="X8">
        <v>3600.0724949836699</v>
      </c>
      <c r="Y8">
        <v>3600</v>
      </c>
      <c r="AC8" t="s">
        <v>44</v>
      </c>
      <c r="AD8">
        <v>9</v>
      </c>
      <c r="AE8">
        <v>52</v>
      </c>
      <c r="AF8">
        <v>146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2803.3052088997401</v>
      </c>
      <c r="AO8">
        <v>2823.6440905589402</v>
      </c>
      <c r="AP8">
        <v>2807.4651185320699</v>
      </c>
      <c r="AQ8">
        <v>2807.4651185320699</v>
      </c>
      <c r="AR8">
        <v>0</v>
      </c>
      <c r="AS8">
        <v>17275163</v>
      </c>
      <c r="AT8">
        <v>3602.6187021732298</v>
      </c>
      <c r="AU8">
        <v>3600</v>
      </c>
    </row>
    <row r="9" spans="1:47" x14ac:dyDescent="0.35">
      <c r="A9">
        <f t="shared" si="0"/>
        <v>7.3487947193495131</v>
      </c>
      <c r="B9">
        <f t="shared" si="1"/>
        <v>2.1350357545110388</v>
      </c>
      <c r="C9">
        <f t="shared" si="2"/>
        <v>0.28031411136921569</v>
      </c>
      <c r="D9">
        <f t="shared" si="3"/>
        <v>0</v>
      </c>
      <c r="E9">
        <f t="shared" si="4"/>
        <v>0</v>
      </c>
      <c r="G9" t="s">
        <v>44</v>
      </c>
      <c r="H9">
        <v>9</v>
      </c>
      <c r="I9">
        <v>52</v>
      </c>
      <c r="J9">
        <v>146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2843.2932332799601</v>
      </c>
      <c r="S9">
        <v>3052.2410162628598</v>
      </c>
      <c r="T9">
        <v>2851.28023331851</v>
      </c>
      <c r="U9">
        <v>2851.2633854404498</v>
      </c>
      <c r="V9">
        <v>0</v>
      </c>
      <c r="W9">
        <v>103682204</v>
      </c>
      <c r="X9">
        <v>3600.0606501102402</v>
      </c>
      <c r="Y9">
        <v>3600</v>
      </c>
      <c r="AC9" t="s">
        <v>44</v>
      </c>
      <c r="AD9">
        <v>9</v>
      </c>
      <c r="AE9">
        <v>52</v>
      </c>
      <c r="AF9">
        <v>146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2843.2932332799601</v>
      </c>
      <c r="AO9">
        <v>2903.9985604160802</v>
      </c>
      <c r="AP9">
        <v>2851.2633854404498</v>
      </c>
      <c r="AQ9">
        <v>2851.2633854404498</v>
      </c>
      <c r="AR9">
        <v>0</v>
      </c>
      <c r="AS9">
        <v>8684477</v>
      </c>
      <c r="AT9">
        <v>3600.5421860217998</v>
      </c>
      <c r="AU9">
        <v>3600</v>
      </c>
    </row>
    <row r="10" spans="1:47" x14ac:dyDescent="0.35">
      <c r="A10">
        <f t="shared" si="0"/>
        <v>5.9916410599188428</v>
      </c>
      <c r="B10">
        <f t="shared" si="1"/>
        <v>2.2715136839927279</v>
      </c>
      <c r="C10">
        <f t="shared" si="2"/>
        <v>4.1162032125018885E-2</v>
      </c>
      <c r="D10">
        <f t="shared" si="3"/>
        <v>0</v>
      </c>
      <c r="E10">
        <f t="shared" si="4"/>
        <v>0</v>
      </c>
      <c r="G10" t="s">
        <v>44</v>
      </c>
      <c r="H10">
        <v>9</v>
      </c>
      <c r="I10">
        <v>52</v>
      </c>
      <c r="J10">
        <v>146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2792.2798442491498</v>
      </c>
      <c r="S10">
        <v>2959.5832299050198</v>
      </c>
      <c r="T10">
        <v>2793.4450618815899</v>
      </c>
      <c r="U10">
        <v>2793.4292033756601</v>
      </c>
      <c r="V10">
        <v>0</v>
      </c>
      <c r="W10">
        <v>129064066</v>
      </c>
      <c r="X10">
        <v>3600.0838429927799</v>
      </c>
      <c r="Y10">
        <v>3600</v>
      </c>
      <c r="AC10" t="s">
        <v>44</v>
      </c>
      <c r="AD10">
        <v>9</v>
      </c>
      <c r="AE10">
        <v>52</v>
      </c>
      <c r="AF10">
        <v>146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2792.2798442491498</v>
      </c>
      <c r="AO10">
        <v>2855.7068630066401</v>
      </c>
      <c r="AP10">
        <v>2793.4292039338802</v>
      </c>
      <c r="AQ10">
        <v>2793.4292033756601</v>
      </c>
      <c r="AR10">
        <v>0</v>
      </c>
      <c r="AS10">
        <v>12247590</v>
      </c>
      <c r="AT10">
        <v>3602.3009879588999</v>
      </c>
      <c r="AU10">
        <v>3600</v>
      </c>
    </row>
    <row r="11" spans="1:47" x14ac:dyDescent="0.35">
      <c r="A11">
        <f t="shared" si="0"/>
        <v>6.9796924202387274</v>
      </c>
      <c r="B11">
        <f t="shared" si="1"/>
        <v>0.34728510428490578</v>
      </c>
      <c r="C11">
        <f t="shared" si="2"/>
        <v>0</v>
      </c>
      <c r="D11">
        <f t="shared" si="3"/>
        <v>0</v>
      </c>
      <c r="E11">
        <f t="shared" si="4"/>
        <v>0</v>
      </c>
      <c r="G11" t="s">
        <v>44</v>
      </c>
      <c r="H11">
        <v>9</v>
      </c>
      <c r="I11">
        <v>52</v>
      </c>
      <c r="J11">
        <v>146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2834.0413093662401</v>
      </c>
      <c r="S11">
        <v>3031.8486758225099</v>
      </c>
      <c r="T11">
        <v>2834.0538876691799</v>
      </c>
      <c r="U11">
        <v>2834.0413093662401</v>
      </c>
      <c r="V11">
        <v>0</v>
      </c>
      <c r="W11">
        <v>131403123</v>
      </c>
      <c r="X11">
        <v>3600.1644418239498</v>
      </c>
      <c r="Y11">
        <v>3600</v>
      </c>
      <c r="AC11" t="s">
        <v>44</v>
      </c>
      <c r="AD11">
        <v>9</v>
      </c>
      <c r="AE11">
        <v>52</v>
      </c>
      <c r="AF11">
        <v>146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2834.0413093662401</v>
      </c>
      <c r="AO11">
        <v>2843.8835126829499</v>
      </c>
      <c r="AP11">
        <v>2834.0413206765502</v>
      </c>
      <c r="AQ11">
        <v>2834.0413093662401</v>
      </c>
      <c r="AR11">
        <v>0</v>
      </c>
      <c r="AS11">
        <v>19221318</v>
      </c>
      <c r="AT11">
        <v>3601.6030139923</v>
      </c>
      <c r="AU11">
        <v>3600</v>
      </c>
    </row>
    <row r="12" spans="1:47" x14ac:dyDescent="0.35">
      <c r="A12">
        <f t="shared" si="0"/>
        <v>9.6648095802790941</v>
      </c>
      <c r="B12">
        <f t="shared" si="1"/>
        <v>2.4230928804941176</v>
      </c>
      <c r="C12">
        <f t="shared" si="2"/>
        <v>0.37861133618171289</v>
      </c>
      <c r="D12">
        <f t="shared" si="3"/>
        <v>0</v>
      </c>
      <c r="E12">
        <f t="shared" si="4"/>
        <v>0</v>
      </c>
      <c r="G12" t="s">
        <v>44</v>
      </c>
      <c r="H12">
        <v>9</v>
      </c>
      <c r="I12">
        <v>52</v>
      </c>
      <c r="J12">
        <v>146</v>
      </c>
      <c r="K12">
        <v>3</v>
      </c>
      <c r="L12">
        <v>6</v>
      </c>
      <c r="M12">
        <v>10</v>
      </c>
      <c r="N12" t="s">
        <v>20</v>
      </c>
      <c r="O12" t="b">
        <v>1</v>
      </c>
      <c r="P12">
        <v>0.5</v>
      </c>
      <c r="Q12" t="b">
        <v>0</v>
      </c>
      <c r="R12">
        <v>2743.82164454638</v>
      </c>
      <c r="S12">
        <v>3009.0067817142699</v>
      </c>
      <c r="T12">
        <v>2754.2100969667399</v>
      </c>
      <c r="U12">
        <v>2754.2100643372401</v>
      </c>
      <c r="V12">
        <v>0</v>
      </c>
      <c r="W12">
        <v>118642148</v>
      </c>
      <c r="X12">
        <v>3600.1387510299601</v>
      </c>
      <c r="Y12">
        <v>3600</v>
      </c>
      <c r="AC12" t="s">
        <v>44</v>
      </c>
      <c r="AD12">
        <v>9</v>
      </c>
      <c r="AE12">
        <v>52</v>
      </c>
      <c r="AF12">
        <v>146</v>
      </c>
      <c r="AG12">
        <v>3</v>
      </c>
      <c r="AH12">
        <v>6</v>
      </c>
      <c r="AI12">
        <v>10</v>
      </c>
      <c r="AJ12" t="s">
        <v>20</v>
      </c>
      <c r="AK12" t="b">
        <v>1</v>
      </c>
      <c r="AL12">
        <v>0.5</v>
      </c>
      <c r="AM12" t="b">
        <v>1</v>
      </c>
      <c r="AN12">
        <v>2743.82164454638</v>
      </c>
      <c r="AO12">
        <v>2810.3069914688399</v>
      </c>
      <c r="AP12">
        <v>2754.2100643372401</v>
      </c>
      <c r="AQ12">
        <v>2754.2100643372401</v>
      </c>
      <c r="AR12">
        <v>0</v>
      </c>
      <c r="AS12">
        <v>12640836</v>
      </c>
      <c r="AT12">
        <v>3606.7141439914699</v>
      </c>
      <c r="AU12">
        <v>3600</v>
      </c>
    </row>
    <row r="13" spans="1:47" x14ac:dyDescent="0.35">
      <c r="A13">
        <f t="shared" si="0"/>
        <v>6.6298372179792526</v>
      </c>
      <c r="B13">
        <f t="shared" si="1"/>
        <v>0.38373555204889148</v>
      </c>
      <c r="C13">
        <f t="shared" si="2"/>
        <v>0.37533250421868458</v>
      </c>
      <c r="D13">
        <f t="shared" si="3"/>
        <v>0</v>
      </c>
      <c r="E13">
        <f t="shared" si="4"/>
        <v>1</v>
      </c>
      <c r="F13">
        <f t="shared" ref="F13:F15" si="5">(AQ13-AN13)/AN13*100</f>
        <v>0.37533250421868458</v>
      </c>
      <c r="G13" t="s">
        <v>44</v>
      </c>
      <c r="H13">
        <v>9</v>
      </c>
      <c r="I13">
        <v>52</v>
      </c>
      <c r="J13">
        <v>146</v>
      </c>
      <c r="K13">
        <v>3</v>
      </c>
      <c r="L13">
        <v>6</v>
      </c>
      <c r="M13">
        <v>11</v>
      </c>
      <c r="N13" t="s">
        <v>20</v>
      </c>
      <c r="O13" t="b">
        <v>1</v>
      </c>
      <c r="P13">
        <v>0.5</v>
      </c>
      <c r="Q13" t="b">
        <v>0</v>
      </c>
      <c r="R13">
        <v>2841.03118730086</v>
      </c>
      <c r="S13">
        <v>3029.3869303309302</v>
      </c>
      <c r="T13">
        <v>2851.7014106629299</v>
      </c>
      <c r="U13">
        <v>2851.6945008017901</v>
      </c>
      <c r="V13">
        <v>0</v>
      </c>
      <c r="W13">
        <v>135724748</v>
      </c>
      <c r="X13">
        <v>3600.0621929168701</v>
      </c>
      <c r="Y13">
        <v>3600</v>
      </c>
      <c r="AC13" t="s">
        <v>44</v>
      </c>
      <c r="AD13">
        <v>9</v>
      </c>
      <c r="AE13">
        <v>52</v>
      </c>
      <c r="AF13">
        <v>146</v>
      </c>
      <c r="AG13">
        <v>3</v>
      </c>
      <c r="AH13">
        <v>6</v>
      </c>
      <c r="AI13">
        <v>11</v>
      </c>
      <c r="AJ13" t="s">
        <v>20</v>
      </c>
      <c r="AK13" t="b">
        <v>1</v>
      </c>
      <c r="AL13">
        <v>0.5</v>
      </c>
      <c r="AM13" t="b">
        <v>1</v>
      </c>
      <c r="AN13">
        <v>2841.03118730086</v>
      </c>
      <c r="AO13">
        <v>2851.9332340113301</v>
      </c>
      <c r="AP13">
        <v>2851.7014106629299</v>
      </c>
      <c r="AQ13">
        <v>2851.6945008017901</v>
      </c>
      <c r="AR13">
        <v>0</v>
      </c>
      <c r="AS13">
        <v>9498591</v>
      </c>
      <c r="AT13">
        <v>1162.5814290046601</v>
      </c>
      <c r="AU13">
        <v>3600</v>
      </c>
    </row>
    <row r="14" spans="1:47" x14ac:dyDescent="0.35">
      <c r="A14">
        <f t="shared" si="0"/>
        <v>9.1290907970319832</v>
      </c>
      <c r="B14">
        <f t="shared" si="1"/>
        <v>9.1544084265951248E-3</v>
      </c>
      <c r="C14">
        <f t="shared" si="2"/>
        <v>0</v>
      </c>
      <c r="D14">
        <f t="shared" si="3"/>
        <v>0</v>
      </c>
      <c r="E14">
        <f t="shared" si="4"/>
        <v>1</v>
      </c>
      <c r="F14">
        <f t="shared" si="5"/>
        <v>0</v>
      </c>
      <c r="G14" t="s">
        <v>44</v>
      </c>
      <c r="H14">
        <v>9</v>
      </c>
      <c r="I14">
        <v>52</v>
      </c>
      <c r="J14">
        <v>146</v>
      </c>
      <c r="K14">
        <v>3</v>
      </c>
      <c r="L14">
        <v>6</v>
      </c>
      <c r="M14">
        <v>12</v>
      </c>
      <c r="N14" t="s">
        <v>20</v>
      </c>
      <c r="O14" t="b">
        <v>1</v>
      </c>
      <c r="P14">
        <v>0.5</v>
      </c>
      <c r="Q14" t="b">
        <v>0</v>
      </c>
      <c r="R14">
        <v>2806.5476754765</v>
      </c>
      <c r="S14">
        <v>3062.7599610327402</v>
      </c>
      <c r="T14">
        <v>2806.5476754765</v>
      </c>
      <c r="U14">
        <v>2806.5476754765</v>
      </c>
      <c r="V14">
        <v>0</v>
      </c>
      <c r="W14">
        <v>102063783</v>
      </c>
      <c r="X14">
        <v>3600.05857110023</v>
      </c>
      <c r="Y14">
        <v>3600</v>
      </c>
      <c r="AC14" t="s">
        <v>44</v>
      </c>
      <c r="AD14">
        <v>9</v>
      </c>
      <c r="AE14">
        <v>52</v>
      </c>
      <c r="AF14">
        <v>146</v>
      </c>
      <c r="AG14">
        <v>3</v>
      </c>
      <c r="AH14">
        <v>6</v>
      </c>
      <c r="AI14">
        <v>12</v>
      </c>
      <c r="AJ14" t="s">
        <v>20</v>
      </c>
      <c r="AK14" t="b">
        <v>1</v>
      </c>
      <c r="AL14">
        <v>0.5</v>
      </c>
      <c r="AM14" t="b">
        <v>1</v>
      </c>
      <c r="AN14">
        <v>2806.5476754765</v>
      </c>
      <c r="AO14">
        <v>2806.8045983134002</v>
      </c>
      <c r="AP14">
        <v>2806.5477044783202</v>
      </c>
      <c r="AQ14">
        <v>2806.5476754765</v>
      </c>
      <c r="AR14">
        <v>0</v>
      </c>
      <c r="AS14">
        <v>17920363</v>
      </c>
      <c r="AT14">
        <v>2738.6662471294399</v>
      </c>
      <c r="AU14">
        <v>3600</v>
      </c>
    </row>
    <row r="15" spans="1:47" x14ac:dyDescent="0.35">
      <c r="A15">
        <f t="shared" si="0"/>
        <v>9.7513448156620726</v>
      </c>
      <c r="B15">
        <f t="shared" si="1"/>
        <v>0.55917760722250298</v>
      </c>
      <c r="C15">
        <f t="shared" si="2"/>
        <v>0.54981207260299947</v>
      </c>
      <c r="D15">
        <f t="shared" si="3"/>
        <v>0</v>
      </c>
      <c r="E15">
        <f t="shared" si="4"/>
        <v>1</v>
      </c>
      <c r="F15">
        <f t="shared" si="5"/>
        <v>0.54981207260299947</v>
      </c>
      <c r="G15" t="s">
        <v>44</v>
      </c>
      <c r="H15">
        <v>9</v>
      </c>
      <c r="I15">
        <v>52</v>
      </c>
      <c r="J15">
        <v>146</v>
      </c>
      <c r="K15">
        <v>3</v>
      </c>
      <c r="L15">
        <v>6</v>
      </c>
      <c r="M15">
        <v>13</v>
      </c>
      <c r="N15" t="s">
        <v>20</v>
      </c>
      <c r="O15" t="b">
        <v>1</v>
      </c>
      <c r="P15">
        <v>0.5</v>
      </c>
      <c r="Q15" t="b">
        <v>0</v>
      </c>
      <c r="R15">
        <v>2792.0422771753301</v>
      </c>
      <c r="S15">
        <v>3064.30394702176</v>
      </c>
      <c r="T15">
        <v>2807.4161609162802</v>
      </c>
      <c r="U15">
        <v>2807.3932626874198</v>
      </c>
      <c r="V15">
        <v>0</v>
      </c>
      <c r="W15">
        <v>110240320</v>
      </c>
      <c r="X15">
        <v>3600.0794510841301</v>
      </c>
      <c r="Y15">
        <v>3600</v>
      </c>
      <c r="AC15" t="s">
        <v>44</v>
      </c>
      <c r="AD15">
        <v>9</v>
      </c>
      <c r="AE15">
        <v>52</v>
      </c>
      <c r="AF15">
        <v>146</v>
      </c>
      <c r="AG15">
        <v>3</v>
      </c>
      <c r="AH15">
        <v>6</v>
      </c>
      <c r="AI15">
        <v>13</v>
      </c>
      <c r="AJ15" t="s">
        <v>20</v>
      </c>
      <c r="AK15" t="b">
        <v>1</v>
      </c>
      <c r="AL15">
        <v>0.5</v>
      </c>
      <c r="AM15" t="b">
        <v>1</v>
      </c>
      <c r="AN15">
        <v>2792.0422771753301</v>
      </c>
      <c r="AO15">
        <v>2807.6547523734798</v>
      </c>
      <c r="AP15">
        <v>2807.4120467166799</v>
      </c>
      <c r="AQ15">
        <v>2807.3932626874198</v>
      </c>
      <c r="AR15">
        <v>0</v>
      </c>
      <c r="AS15">
        <v>13068886</v>
      </c>
      <c r="AT15">
        <v>2592.9492120742798</v>
      </c>
      <c r="AU15">
        <v>3600</v>
      </c>
    </row>
    <row r="16" spans="1:47" x14ac:dyDescent="0.35">
      <c r="A16">
        <f t="shared" si="0"/>
        <v>4.3650489818706308</v>
      </c>
      <c r="B16">
        <f t="shared" si="1"/>
        <v>0.93132211061639736</v>
      </c>
      <c r="C16">
        <f t="shared" si="2"/>
        <v>0.11590317458293889</v>
      </c>
      <c r="D16">
        <f t="shared" si="3"/>
        <v>0</v>
      </c>
      <c r="E16">
        <f t="shared" si="4"/>
        <v>0</v>
      </c>
      <c r="G16" t="s">
        <v>44</v>
      </c>
      <c r="H16">
        <v>9</v>
      </c>
      <c r="I16">
        <v>52</v>
      </c>
      <c r="J16">
        <v>146</v>
      </c>
      <c r="K16">
        <v>3</v>
      </c>
      <c r="L16">
        <v>6</v>
      </c>
      <c r="M16">
        <v>14</v>
      </c>
      <c r="N16" t="s">
        <v>20</v>
      </c>
      <c r="O16" t="b">
        <v>1</v>
      </c>
      <c r="P16">
        <v>0.5</v>
      </c>
      <c r="Q16" t="b">
        <v>0</v>
      </c>
      <c r="R16">
        <v>2862.54759987235</v>
      </c>
      <c r="S16">
        <v>2987.4992047361402</v>
      </c>
      <c r="T16">
        <v>2865.8668165437198</v>
      </c>
      <c r="U16">
        <v>2865.8653834145498</v>
      </c>
      <c r="V16">
        <v>0</v>
      </c>
      <c r="W16">
        <v>139416408</v>
      </c>
      <c r="X16">
        <v>3600.1321780681601</v>
      </c>
      <c r="Y16">
        <v>3600</v>
      </c>
      <c r="AC16" t="s">
        <v>44</v>
      </c>
      <c r="AD16">
        <v>9</v>
      </c>
      <c r="AE16">
        <v>52</v>
      </c>
      <c r="AF16">
        <v>146</v>
      </c>
      <c r="AG16">
        <v>3</v>
      </c>
      <c r="AH16">
        <v>6</v>
      </c>
      <c r="AI16">
        <v>14</v>
      </c>
      <c r="AJ16" t="s">
        <v>20</v>
      </c>
      <c r="AK16" t="b">
        <v>1</v>
      </c>
      <c r="AL16">
        <v>0.5</v>
      </c>
      <c r="AM16" t="b">
        <v>1</v>
      </c>
      <c r="AN16">
        <v>2862.54759987235</v>
      </c>
      <c r="AO16">
        <v>2889.2071385968802</v>
      </c>
      <c r="AP16">
        <v>2865.89057827638</v>
      </c>
      <c r="AQ16">
        <v>2865.8653834145498</v>
      </c>
      <c r="AR16">
        <v>0</v>
      </c>
      <c r="AS16">
        <v>15949718</v>
      </c>
      <c r="AT16">
        <v>3602.5480809211699</v>
      </c>
      <c r="AU16">
        <v>3600</v>
      </c>
    </row>
    <row r="17" spans="1:47" x14ac:dyDescent="0.35">
      <c r="A17">
        <f t="shared" si="0"/>
        <v>8.8914741641878283</v>
      </c>
      <c r="B17">
        <f t="shared" si="1"/>
        <v>0.81947692068398725</v>
      </c>
      <c r="C17">
        <f t="shared" si="2"/>
        <v>0.2657285804270948</v>
      </c>
      <c r="D17">
        <f t="shared" si="3"/>
        <v>0</v>
      </c>
      <c r="E17">
        <f t="shared" si="4"/>
        <v>0</v>
      </c>
      <c r="G17" t="s">
        <v>44</v>
      </c>
      <c r="H17">
        <v>9</v>
      </c>
      <c r="I17">
        <v>52</v>
      </c>
      <c r="J17">
        <v>146</v>
      </c>
      <c r="K17">
        <v>3</v>
      </c>
      <c r="L17">
        <v>6</v>
      </c>
      <c r="M17">
        <v>15</v>
      </c>
      <c r="N17" t="s">
        <v>20</v>
      </c>
      <c r="O17" t="b">
        <v>1</v>
      </c>
      <c r="P17">
        <v>0.5</v>
      </c>
      <c r="Q17" t="b">
        <v>0</v>
      </c>
      <c r="R17">
        <v>2865.1595469342501</v>
      </c>
      <c r="S17">
        <v>3119.91446781267</v>
      </c>
      <c r="T17">
        <v>2872.77352321334</v>
      </c>
      <c r="U17">
        <v>2872.7730947252899</v>
      </c>
      <c r="V17">
        <v>0</v>
      </c>
      <c r="W17">
        <v>124823775</v>
      </c>
      <c r="X17">
        <v>3600.0305168628602</v>
      </c>
      <c r="Y17">
        <v>3600</v>
      </c>
      <c r="AC17" t="s">
        <v>44</v>
      </c>
      <c r="AD17">
        <v>9</v>
      </c>
      <c r="AE17">
        <v>52</v>
      </c>
      <c r="AF17">
        <v>146</v>
      </c>
      <c r="AG17">
        <v>3</v>
      </c>
      <c r="AH17">
        <v>6</v>
      </c>
      <c r="AI17">
        <v>15</v>
      </c>
      <c r="AJ17" t="s">
        <v>20</v>
      </c>
      <c r="AK17" t="b">
        <v>1</v>
      </c>
      <c r="AL17">
        <v>0.5</v>
      </c>
      <c r="AM17" t="b">
        <v>1</v>
      </c>
      <c r="AN17">
        <v>2865.1595469342501</v>
      </c>
      <c r="AO17">
        <v>2888.6388681621502</v>
      </c>
      <c r="AP17">
        <v>2872.8005256265501</v>
      </c>
      <c r="AQ17">
        <v>2872.7730947252899</v>
      </c>
      <c r="AR17">
        <v>0</v>
      </c>
      <c r="AS17">
        <v>16493545</v>
      </c>
      <c r="AT17">
        <v>3604.16774916648</v>
      </c>
      <c r="AU17">
        <v>3600</v>
      </c>
    </row>
    <row r="18" spans="1:47" x14ac:dyDescent="0.35">
      <c r="A18">
        <f t="shared" si="0"/>
        <v>8.7115567986163001</v>
      </c>
      <c r="B18">
        <f t="shared" si="1"/>
        <v>9.7471284598329946E-2</v>
      </c>
      <c r="C18">
        <f t="shared" si="2"/>
        <v>8.7834527666668591E-2</v>
      </c>
      <c r="D18">
        <f t="shared" si="3"/>
        <v>0</v>
      </c>
      <c r="E18">
        <f t="shared" si="4"/>
        <v>1</v>
      </c>
      <c r="F18">
        <f>(AQ18-AN18)/AN18*100</f>
        <v>8.7834527666668591E-2</v>
      </c>
      <c r="G18" t="s">
        <v>44</v>
      </c>
      <c r="H18">
        <v>9</v>
      </c>
      <c r="I18">
        <v>52</v>
      </c>
      <c r="J18">
        <v>146</v>
      </c>
      <c r="K18">
        <v>3</v>
      </c>
      <c r="L18">
        <v>6</v>
      </c>
      <c r="M18">
        <v>16</v>
      </c>
      <c r="N18" t="s">
        <v>20</v>
      </c>
      <c r="O18" t="b">
        <v>1</v>
      </c>
      <c r="P18">
        <v>0.5</v>
      </c>
      <c r="Q18" t="b">
        <v>0</v>
      </c>
      <c r="R18">
        <v>2785.22566547427</v>
      </c>
      <c r="S18">
        <v>3027.8621812916999</v>
      </c>
      <c r="T18">
        <v>2787.6903163119</v>
      </c>
      <c r="U18">
        <v>2787.6720552819902</v>
      </c>
      <c r="V18">
        <v>0</v>
      </c>
      <c r="W18">
        <v>110239998</v>
      </c>
      <c r="X18">
        <v>3600.2491497993401</v>
      </c>
      <c r="Y18">
        <v>3600</v>
      </c>
      <c r="AC18" t="s">
        <v>44</v>
      </c>
      <c r="AD18">
        <v>9</v>
      </c>
      <c r="AE18">
        <v>52</v>
      </c>
      <c r="AF18">
        <v>146</v>
      </c>
      <c r="AG18">
        <v>3</v>
      </c>
      <c r="AH18">
        <v>6</v>
      </c>
      <c r="AI18">
        <v>16</v>
      </c>
      <c r="AJ18" t="s">
        <v>20</v>
      </c>
      <c r="AK18" t="b">
        <v>1</v>
      </c>
      <c r="AL18">
        <v>0.5</v>
      </c>
      <c r="AM18" t="b">
        <v>1</v>
      </c>
      <c r="AN18">
        <v>2785.22566547427</v>
      </c>
      <c r="AO18">
        <v>2787.9404607093702</v>
      </c>
      <c r="AP18">
        <v>2787.6720552819902</v>
      </c>
      <c r="AQ18">
        <v>2787.6720552819902</v>
      </c>
      <c r="AR18">
        <v>0</v>
      </c>
      <c r="AS18">
        <v>24291661</v>
      </c>
      <c r="AT18">
        <v>3029.91444301605</v>
      </c>
      <c r="AU18">
        <v>3600</v>
      </c>
    </row>
    <row r="19" spans="1:47" x14ac:dyDescent="0.35">
      <c r="A19">
        <f t="shared" si="0"/>
        <v>8.5127872119132562</v>
      </c>
      <c r="B19">
        <f t="shared" si="1"/>
        <v>0.79895621157076158</v>
      </c>
      <c r="C19">
        <f t="shared" si="2"/>
        <v>0.24657369879441704</v>
      </c>
      <c r="D19">
        <f t="shared" si="3"/>
        <v>0</v>
      </c>
      <c r="E19">
        <f t="shared" si="4"/>
        <v>0</v>
      </c>
      <c r="G19" t="s">
        <v>44</v>
      </c>
      <c r="H19">
        <v>9</v>
      </c>
      <c r="I19">
        <v>52</v>
      </c>
      <c r="J19">
        <v>146</v>
      </c>
      <c r="K19">
        <v>3</v>
      </c>
      <c r="L19">
        <v>6</v>
      </c>
      <c r="M19">
        <v>17</v>
      </c>
      <c r="N19" t="s">
        <v>20</v>
      </c>
      <c r="O19" t="b">
        <v>1</v>
      </c>
      <c r="P19">
        <v>0.5</v>
      </c>
      <c r="Q19" t="b">
        <v>0</v>
      </c>
      <c r="R19">
        <v>2775.2867793639098</v>
      </c>
      <c r="S19">
        <v>3011.5410374115199</v>
      </c>
      <c r="T19">
        <v>2782.1713710519998</v>
      </c>
      <c r="U19">
        <v>2782.1299066279398</v>
      </c>
      <c r="V19">
        <v>0</v>
      </c>
      <c r="W19">
        <v>96515815</v>
      </c>
      <c r="X19">
        <v>3600.1459572315198</v>
      </c>
      <c r="Y19">
        <v>3600</v>
      </c>
      <c r="AC19" t="s">
        <v>44</v>
      </c>
      <c r="AD19">
        <v>9</v>
      </c>
      <c r="AE19">
        <v>52</v>
      </c>
      <c r="AF19">
        <v>146</v>
      </c>
      <c r="AG19">
        <v>3</v>
      </c>
      <c r="AH19">
        <v>6</v>
      </c>
      <c r="AI19">
        <v>17</v>
      </c>
      <c r="AJ19" t="s">
        <v>20</v>
      </c>
      <c r="AK19" t="b">
        <v>1</v>
      </c>
      <c r="AL19">
        <v>0.5</v>
      </c>
      <c r="AM19" t="b">
        <v>1</v>
      </c>
      <c r="AN19">
        <v>2775.2867793639098</v>
      </c>
      <c r="AO19">
        <v>2797.4601054765399</v>
      </c>
      <c r="AP19">
        <v>2782.1301206923099</v>
      </c>
      <c r="AQ19">
        <v>2782.1299066279398</v>
      </c>
      <c r="AR19">
        <v>0</v>
      </c>
      <c r="AS19">
        <v>16346115</v>
      </c>
      <c r="AT19">
        <v>3600.76220703125</v>
      </c>
      <c r="AU19">
        <v>3600</v>
      </c>
    </row>
    <row r="20" spans="1:47" x14ac:dyDescent="0.35">
      <c r="A20">
        <f t="shared" si="0"/>
        <v>7.9534392961036833</v>
      </c>
      <c r="B20">
        <f t="shared" si="1"/>
        <v>1.0131841622127495</v>
      </c>
      <c r="C20">
        <f t="shared" si="2"/>
        <v>0.14336995371562036</v>
      </c>
      <c r="D20">
        <f t="shared" si="3"/>
        <v>0</v>
      </c>
      <c r="E20">
        <f t="shared" si="4"/>
        <v>0</v>
      </c>
      <c r="G20" t="s">
        <v>44</v>
      </c>
      <c r="H20">
        <v>9</v>
      </c>
      <c r="I20">
        <v>52</v>
      </c>
      <c r="J20">
        <v>146</v>
      </c>
      <c r="K20">
        <v>3</v>
      </c>
      <c r="L20">
        <v>6</v>
      </c>
      <c r="M20">
        <v>18</v>
      </c>
      <c r="N20" t="s">
        <v>20</v>
      </c>
      <c r="O20" t="b">
        <v>1</v>
      </c>
      <c r="P20">
        <v>0.5</v>
      </c>
      <c r="Q20" t="b">
        <v>0</v>
      </c>
      <c r="R20">
        <v>2809.15158775089</v>
      </c>
      <c r="S20">
        <v>3032.5757540181899</v>
      </c>
      <c r="T20">
        <v>2813.2194240758099</v>
      </c>
      <c r="U20">
        <v>2813.1790670820501</v>
      </c>
      <c r="V20">
        <v>0</v>
      </c>
      <c r="W20">
        <v>115265121</v>
      </c>
      <c r="X20">
        <v>3600.0440781116399</v>
      </c>
      <c r="Y20">
        <v>3600</v>
      </c>
      <c r="AC20" t="s">
        <v>44</v>
      </c>
      <c r="AD20">
        <v>9</v>
      </c>
      <c r="AE20">
        <v>52</v>
      </c>
      <c r="AF20">
        <v>146</v>
      </c>
      <c r="AG20">
        <v>3</v>
      </c>
      <c r="AH20">
        <v>6</v>
      </c>
      <c r="AI20">
        <v>18</v>
      </c>
      <c r="AJ20" t="s">
        <v>20</v>
      </c>
      <c r="AK20" t="b">
        <v>1</v>
      </c>
      <c r="AL20">
        <v>0.5</v>
      </c>
      <c r="AM20" t="b">
        <v>1</v>
      </c>
      <c r="AN20">
        <v>2809.15158775089</v>
      </c>
      <c r="AO20">
        <v>2837.61346673053</v>
      </c>
      <c r="AP20">
        <v>2813.1822310336602</v>
      </c>
      <c r="AQ20">
        <v>2813.1790670820501</v>
      </c>
      <c r="AR20">
        <v>0</v>
      </c>
      <c r="AS20">
        <v>15210985</v>
      </c>
      <c r="AT20">
        <v>3600.1559898853302</v>
      </c>
      <c r="AU20">
        <v>3600</v>
      </c>
    </row>
    <row r="21" spans="1:47" x14ac:dyDescent="0.35">
      <c r="A21">
        <f t="shared" si="0"/>
        <v>9.8484389339274898</v>
      </c>
      <c r="B21">
        <f t="shared" si="1"/>
        <v>1.5612087005112334</v>
      </c>
      <c r="C21">
        <f t="shared" si="2"/>
        <v>0.56524754557949752</v>
      </c>
      <c r="D21">
        <f t="shared" si="3"/>
        <v>0</v>
      </c>
      <c r="E21">
        <f t="shared" si="4"/>
        <v>0</v>
      </c>
      <c r="G21" t="s">
        <v>44</v>
      </c>
      <c r="H21">
        <v>9</v>
      </c>
      <c r="I21">
        <v>52</v>
      </c>
      <c r="J21">
        <v>146</v>
      </c>
      <c r="K21">
        <v>3</v>
      </c>
      <c r="L21">
        <v>6</v>
      </c>
      <c r="M21">
        <v>19</v>
      </c>
      <c r="N21" t="s">
        <v>20</v>
      </c>
      <c r="O21" t="b">
        <v>1</v>
      </c>
      <c r="P21">
        <v>0.5</v>
      </c>
      <c r="Q21" t="b">
        <v>0</v>
      </c>
      <c r="R21">
        <v>2775.9217688620602</v>
      </c>
      <c r="S21">
        <v>3049.30672912204</v>
      </c>
      <c r="T21">
        <v>2791.620260144</v>
      </c>
      <c r="U21">
        <v>2791.6125985277599</v>
      </c>
      <c r="V21">
        <v>0</v>
      </c>
      <c r="W21">
        <v>112812134</v>
      </c>
      <c r="X21">
        <v>3600.1632368564601</v>
      </c>
      <c r="Y21">
        <v>3600</v>
      </c>
      <c r="AC21" t="s">
        <v>44</v>
      </c>
      <c r="AD21">
        <v>9</v>
      </c>
      <c r="AE21">
        <v>52</v>
      </c>
      <c r="AF21">
        <v>146</v>
      </c>
      <c r="AG21">
        <v>3</v>
      </c>
      <c r="AH21">
        <v>6</v>
      </c>
      <c r="AI21">
        <v>19</v>
      </c>
      <c r="AJ21" t="s">
        <v>20</v>
      </c>
      <c r="AK21" t="b">
        <v>1</v>
      </c>
      <c r="AL21">
        <v>0.5</v>
      </c>
      <c r="AM21" t="b">
        <v>1</v>
      </c>
      <c r="AN21">
        <v>2775.9217688620602</v>
      </c>
      <c r="AO21">
        <v>2819.25970103692</v>
      </c>
      <c r="AP21">
        <v>2791.6226741994301</v>
      </c>
      <c r="AQ21">
        <v>2791.6125985277599</v>
      </c>
      <c r="AR21">
        <v>0</v>
      </c>
      <c r="AS21">
        <v>15206904</v>
      </c>
      <c r="AT21">
        <v>3602.2020909786202</v>
      </c>
      <c r="AU21">
        <v>3600</v>
      </c>
    </row>
    <row r="22" spans="1:47" x14ac:dyDescent="0.35">
      <c r="A22">
        <f t="shared" si="0"/>
        <v>7.084500709360035</v>
      </c>
      <c r="B22">
        <f t="shared" si="1"/>
        <v>0.36071054045029005</v>
      </c>
      <c r="C22">
        <f t="shared" si="2"/>
        <v>0.35053308522354915</v>
      </c>
      <c r="D22">
        <f t="shared" si="3"/>
        <v>0</v>
      </c>
      <c r="E22">
        <f t="shared" si="4"/>
        <v>1</v>
      </c>
      <c r="F22">
        <f t="shared" ref="F22:F24" si="6">(AQ22-AN22)/AN22*100</f>
        <v>0.35053308522354915</v>
      </c>
      <c r="G22" t="s">
        <v>44</v>
      </c>
      <c r="H22">
        <v>9</v>
      </c>
      <c r="I22">
        <v>52</v>
      </c>
      <c r="J22">
        <v>146</v>
      </c>
      <c r="K22">
        <v>3</v>
      </c>
      <c r="L22">
        <v>6</v>
      </c>
      <c r="M22">
        <v>20</v>
      </c>
      <c r="N22" t="s">
        <v>20</v>
      </c>
      <c r="O22" t="b">
        <v>1</v>
      </c>
      <c r="P22">
        <v>0.5</v>
      </c>
      <c r="Q22" t="b">
        <v>0</v>
      </c>
      <c r="R22">
        <v>2863.3072354323199</v>
      </c>
      <c r="S22">
        <v>3066.1582568376798</v>
      </c>
      <c r="T22">
        <v>2873.43156498906</v>
      </c>
      <c r="U22">
        <v>2873.3440746241099</v>
      </c>
      <c r="V22">
        <v>0</v>
      </c>
      <c r="W22">
        <v>112854726</v>
      </c>
      <c r="X22">
        <v>3600.1610407829198</v>
      </c>
      <c r="Y22">
        <v>3600</v>
      </c>
      <c r="AC22" t="s">
        <v>44</v>
      </c>
      <c r="AD22">
        <v>9</v>
      </c>
      <c r="AE22">
        <v>52</v>
      </c>
      <c r="AF22">
        <v>146</v>
      </c>
      <c r="AG22">
        <v>3</v>
      </c>
      <c r="AH22">
        <v>6</v>
      </c>
      <c r="AI22">
        <v>20</v>
      </c>
      <c r="AJ22" t="s">
        <v>20</v>
      </c>
      <c r="AK22" t="b">
        <v>1</v>
      </c>
      <c r="AL22">
        <v>0.5</v>
      </c>
      <c r="AM22" t="b">
        <v>1</v>
      </c>
      <c r="AN22">
        <v>2863.3072354323199</v>
      </c>
      <c r="AO22">
        <v>2873.6354864360001</v>
      </c>
      <c r="AP22">
        <v>2873.36249643769</v>
      </c>
      <c r="AQ22">
        <v>2873.3440746241099</v>
      </c>
      <c r="AR22">
        <v>0</v>
      </c>
      <c r="AS22">
        <v>26501729</v>
      </c>
      <c r="AT22">
        <v>2761.7445459365799</v>
      </c>
      <c r="AU22">
        <v>3600</v>
      </c>
    </row>
    <row r="23" spans="1:47" x14ac:dyDescent="0.35">
      <c r="A23">
        <f t="shared" si="0"/>
        <v>8.8101059127637757</v>
      </c>
      <c r="B23">
        <f t="shared" si="1"/>
        <v>0.21913155175182281</v>
      </c>
      <c r="C23">
        <f t="shared" si="2"/>
        <v>0.20864567099850018</v>
      </c>
      <c r="D23">
        <f t="shared" si="3"/>
        <v>0</v>
      </c>
      <c r="E23">
        <f t="shared" si="4"/>
        <v>1</v>
      </c>
      <c r="F23">
        <f t="shared" si="6"/>
        <v>0.20864567099850018</v>
      </c>
      <c r="G23" t="s">
        <v>44</v>
      </c>
      <c r="H23">
        <v>9</v>
      </c>
      <c r="I23">
        <v>52</v>
      </c>
      <c r="J23">
        <v>146</v>
      </c>
      <c r="K23">
        <v>3</v>
      </c>
      <c r="L23">
        <v>6</v>
      </c>
      <c r="M23">
        <v>21</v>
      </c>
      <c r="N23" t="s">
        <v>20</v>
      </c>
      <c r="O23" t="b">
        <v>1</v>
      </c>
      <c r="P23">
        <v>0.5</v>
      </c>
      <c r="Q23" t="b">
        <v>0</v>
      </c>
      <c r="R23">
        <v>2801.6326420365299</v>
      </c>
      <c r="S23">
        <v>3048.4594450865102</v>
      </c>
      <c r="T23">
        <v>2807.5454005030901</v>
      </c>
      <c r="U23">
        <v>2807.47812726142</v>
      </c>
      <c r="V23">
        <v>0</v>
      </c>
      <c r="W23">
        <v>111653201</v>
      </c>
      <c r="X23">
        <v>3600.0483310222598</v>
      </c>
      <c r="Y23">
        <v>3600</v>
      </c>
      <c r="AC23" t="s">
        <v>44</v>
      </c>
      <c r="AD23">
        <v>9</v>
      </c>
      <c r="AE23">
        <v>52</v>
      </c>
      <c r="AF23">
        <v>146</v>
      </c>
      <c r="AG23">
        <v>3</v>
      </c>
      <c r="AH23">
        <v>6</v>
      </c>
      <c r="AI23">
        <v>21</v>
      </c>
      <c r="AJ23" t="s">
        <v>20</v>
      </c>
      <c r="AK23" t="b">
        <v>1</v>
      </c>
      <c r="AL23">
        <v>0.5</v>
      </c>
      <c r="AM23" t="b">
        <v>1</v>
      </c>
      <c r="AN23">
        <v>2801.6326420365299</v>
      </c>
      <c r="AO23">
        <v>2807.7719031194101</v>
      </c>
      <c r="AP23">
        <v>2807.5285195045699</v>
      </c>
      <c r="AQ23">
        <v>2807.47812726142</v>
      </c>
      <c r="AR23">
        <v>0</v>
      </c>
      <c r="AS23">
        <v>12169996</v>
      </c>
      <c r="AT23">
        <v>1448.12623310089</v>
      </c>
      <c r="AU23">
        <v>3600</v>
      </c>
    </row>
    <row r="24" spans="1:47" x14ac:dyDescent="0.35">
      <c r="A24">
        <f t="shared" si="0"/>
        <v>11.977513812031267</v>
      </c>
      <c r="B24">
        <f t="shared" si="1"/>
        <v>0.18681979364429172</v>
      </c>
      <c r="C24">
        <f t="shared" si="2"/>
        <v>0.17734904707476115</v>
      </c>
      <c r="D24">
        <f t="shared" si="3"/>
        <v>0</v>
      </c>
      <c r="E24">
        <f t="shared" si="4"/>
        <v>1</v>
      </c>
      <c r="F24">
        <f t="shared" si="6"/>
        <v>0.17734904707476115</v>
      </c>
      <c r="G24" t="s">
        <v>44</v>
      </c>
      <c r="H24">
        <v>9</v>
      </c>
      <c r="I24">
        <v>52</v>
      </c>
      <c r="J24">
        <v>146</v>
      </c>
      <c r="K24">
        <v>3</v>
      </c>
      <c r="L24">
        <v>6</v>
      </c>
      <c r="M24">
        <v>22</v>
      </c>
      <c r="N24" t="s">
        <v>20</v>
      </c>
      <c r="O24" t="b">
        <v>1</v>
      </c>
      <c r="P24">
        <v>0.5</v>
      </c>
      <c r="Q24" t="b">
        <v>0</v>
      </c>
      <c r="R24">
        <v>2797.0011596784402</v>
      </c>
      <c r="S24">
        <v>3132.0123599016001</v>
      </c>
      <c r="T24">
        <v>2802.0126689611802</v>
      </c>
      <c r="U24">
        <v>2801.9616145817999</v>
      </c>
      <c r="V24">
        <v>0</v>
      </c>
      <c r="W24">
        <v>160094954</v>
      </c>
      <c r="X24">
        <v>3600.1743719577698</v>
      </c>
      <c r="Y24">
        <v>3600</v>
      </c>
      <c r="AC24" t="s">
        <v>44</v>
      </c>
      <c r="AD24">
        <v>9</v>
      </c>
      <c r="AE24">
        <v>52</v>
      </c>
      <c r="AF24">
        <v>146</v>
      </c>
      <c r="AG24">
        <v>3</v>
      </c>
      <c r="AH24">
        <v>6</v>
      </c>
      <c r="AI24">
        <v>22</v>
      </c>
      <c r="AJ24" t="s">
        <v>20</v>
      </c>
      <c r="AK24" t="b">
        <v>1</v>
      </c>
      <c r="AL24">
        <v>0.5</v>
      </c>
      <c r="AM24" t="b">
        <v>1</v>
      </c>
      <c r="AN24">
        <v>2797.0011596784402</v>
      </c>
      <c r="AO24">
        <v>2802.2265114731799</v>
      </c>
      <c r="AP24">
        <v>2801.9616145817999</v>
      </c>
      <c r="AQ24">
        <v>2801.9616145817999</v>
      </c>
      <c r="AR24">
        <v>0</v>
      </c>
      <c r="AS24">
        <v>16005620</v>
      </c>
      <c r="AT24">
        <v>2300.14585590362</v>
      </c>
      <c r="AU24">
        <v>3600</v>
      </c>
    </row>
    <row r="25" spans="1:47" x14ac:dyDescent="0.35">
      <c r="A25">
        <f t="shared" si="0"/>
        <v>8.8315741520580797</v>
      </c>
      <c r="B25">
        <f t="shared" si="1"/>
        <v>0.81110864347844203</v>
      </c>
      <c r="C25">
        <f t="shared" si="2"/>
        <v>8.9634046044954549E-2</v>
      </c>
      <c r="D25">
        <f t="shared" si="3"/>
        <v>0</v>
      </c>
      <c r="E25">
        <f t="shared" si="4"/>
        <v>0</v>
      </c>
      <c r="G25" t="s">
        <v>44</v>
      </c>
      <c r="H25">
        <v>9</v>
      </c>
      <c r="I25">
        <v>52</v>
      </c>
      <c r="J25">
        <v>146</v>
      </c>
      <c r="K25">
        <v>3</v>
      </c>
      <c r="L25">
        <v>6</v>
      </c>
      <c r="M25">
        <v>23</v>
      </c>
      <c r="N25" t="s">
        <v>20</v>
      </c>
      <c r="O25" t="b">
        <v>1</v>
      </c>
      <c r="P25">
        <v>0.5</v>
      </c>
      <c r="Q25" t="b">
        <v>0</v>
      </c>
      <c r="R25">
        <v>2825.0646627511801</v>
      </c>
      <c r="S25">
        <v>3074.5623432856401</v>
      </c>
      <c r="T25">
        <v>2827.6133800132802</v>
      </c>
      <c r="U25">
        <v>2827.5968825117902</v>
      </c>
      <c r="V25">
        <v>0</v>
      </c>
      <c r="W25">
        <v>117324226</v>
      </c>
      <c r="X25">
        <v>3600.1634149551301</v>
      </c>
      <c r="Y25">
        <v>3600</v>
      </c>
      <c r="AC25" t="s">
        <v>44</v>
      </c>
      <c r="AD25">
        <v>9</v>
      </c>
      <c r="AE25">
        <v>52</v>
      </c>
      <c r="AF25">
        <v>146</v>
      </c>
      <c r="AG25">
        <v>3</v>
      </c>
      <c r="AH25">
        <v>6</v>
      </c>
      <c r="AI25">
        <v>23</v>
      </c>
      <c r="AJ25" t="s">
        <v>20</v>
      </c>
      <c r="AK25" t="b">
        <v>1</v>
      </c>
      <c r="AL25">
        <v>0.5</v>
      </c>
      <c r="AM25" t="b">
        <v>1</v>
      </c>
      <c r="AN25">
        <v>2825.0646627511801</v>
      </c>
      <c r="AO25">
        <v>2847.97900641461</v>
      </c>
      <c r="AP25">
        <v>2827.5968825117902</v>
      </c>
      <c r="AQ25">
        <v>2827.5968825117902</v>
      </c>
      <c r="AR25">
        <v>0</v>
      </c>
      <c r="AS25">
        <v>14731133</v>
      </c>
      <c r="AT25">
        <v>3600.6346960067699</v>
      </c>
      <c r="AU25">
        <v>3600</v>
      </c>
    </row>
    <row r="26" spans="1:47" x14ac:dyDescent="0.35">
      <c r="A26">
        <f t="shared" si="0"/>
        <v>7.0553632254436351</v>
      </c>
      <c r="B26">
        <f t="shared" si="1"/>
        <v>5.6597139687397699E-2</v>
      </c>
      <c r="C26">
        <f t="shared" si="2"/>
        <v>4.7891399970206638E-2</v>
      </c>
      <c r="D26">
        <f t="shared" si="3"/>
        <v>0</v>
      </c>
      <c r="E26">
        <f t="shared" si="4"/>
        <v>1</v>
      </c>
      <c r="F26">
        <f>(AQ26-AN26)/AN26*100</f>
        <v>4.7891399970206638E-2</v>
      </c>
      <c r="G26" t="s">
        <v>44</v>
      </c>
      <c r="H26">
        <v>9</v>
      </c>
      <c r="I26">
        <v>52</v>
      </c>
      <c r="J26">
        <v>146</v>
      </c>
      <c r="K26">
        <v>3</v>
      </c>
      <c r="L26">
        <v>6</v>
      </c>
      <c r="M26">
        <v>24</v>
      </c>
      <c r="N26" t="s">
        <v>20</v>
      </c>
      <c r="O26" t="b">
        <v>1</v>
      </c>
      <c r="P26">
        <v>0.5</v>
      </c>
      <c r="Q26" t="b">
        <v>0</v>
      </c>
      <c r="R26">
        <v>2808.3270443677402</v>
      </c>
      <c r="S26">
        <v>3006.4647179062499</v>
      </c>
      <c r="T26">
        <v>2809.6719915050298</v>
      </c>
      <c r="U26">
        <v>2809.6719915050298</v>
      </c>
      <c r="V26">
        <v>0</v>
      </c>
      <c r="W26">
        <v>119781314</v>
      </c>
      <c r="X26">
        <v>3600.2028179168701</v>
      </c>
      <c r="Y26">
        <v>3600</v>
      </c>
      <c r="AC26" t="s">
        <v>44</v>
      </c>
      <c r="AD26">
        <v>9</v>
      </c>
      <c r="AE26">
        <v>52</v>
      </c>
      <c r="AF26">
        <v>146</v>
      </c>
      <c r="AG26">
        <v>3</v>
      </c>
      <c r="AH26">
        <v>6</v>
      </c>
      <c r="AI26">
        <v>24</v>
      </c>
      <c r="AJ26" t="s">
        <v>20</v>
      </c>
      <c r="AK26" t="b">
        <v>1</v>
      </c>
      <c r="AL26">
        <v>0.5</v>
      </c>
      <c r="AM26" t="b">
        <v>1</v>
      </c>
      <c r="AN26">
        <v>2808.3270443677402</v>
      </c>
      <c r="AO26">
        <v>2809.91647714792</v>
      </c>
      <c r="AP26">
        <v>2809.6719915050298</v>
      </c>
      <c r="AQ26">
        <v>2809.6719915050298</v>
      </c>
      <c r="AR26">
        <v>0</v>
      </c>
      <c r="AS26">
        <v>18549574</v>
      </c>
      <c r="AT26">
        <v>2480.5583939552298</v>
      </c>
      <c r="AU26">
        <v>3600</v>
      </c>
    </row>
    <row r="27" spans="1:47" x14ac:dyDescent="0.35">
      <c r="A27">
        <f t="shared" si="0"/>
        <v>9.5535978782884037</v>
      </c>
      <c r="B27">
        <f t="shared" si="1"/>
        <v>1.7202000139132398</v>
      </c>
      <c r="C27">
        <f t="shared" si="2"/>
        <v>4.8101429185851294E-2</v>
      </c>
      <c r="D27">
        <f t="shared" si="3"/>
        <v>0</v>
      </c>
      <c r="E27">
        <f t="shared" si="4"/>
        <v>0</v>
      </c>
      <c r="G27" t="s">
        <v>44</v>
      </c>
      <c r="H27">
        <v>9</v>
      </c>
      <c r="I27">
        <v>52</v>
      </c>
      <c r="J27">
        <v>146</v>
      </c>
      <c r="K27">
        <v>3</v>
      </c>
      <c r="L27">
        <v>6</v>
      </c>
      <c r="M27">
        <v>25</v>
      </c>
      <c r="N27" t="s">
        <v>20</v>
      </c>
      <c r="O27" t="b">
        <v>1</v>
      </c>
      <c r="P27">
        <v>0.5</v>
      </c>
      <c r="Q27" t="b">
        <v>0</v>
      </c>
      <c r="R27">
        <v>2876.1693754145999</v>
      </c>
      <c r="S27">
        <v>3150.94703184019</v>
      </c>
      <c r="T27">
        <v>2877.6410066692902</v>
      </c>
      <c r="U27">
        <v>2877.5528539899801</v>
      </c>
      <c r="V27">
        <v>0</v>
      </c>
      <c r="W27">
        <v>139258863</v>
      </c>
      <c r="X27">
        <v>3600.0678341388698</v>
      </c>
      <c r="Y27">
        <v>3600</v>
      </c>
      <c r="AC27" t="s">
        <v>44</v>
      </c>
      <c r="AD27">
        <v>9</v>
      </c>
      <c r="AE27">
        <v>52</v>
      </c>
      <c r="AF27">
        <v>146</v>
      </c>
      <c r="AG27">
        <v>3</v>
      </c>
      <c r="AH27">
        <v>6</v>
      </c>
      <c r="AI27">
        <v>25</v>
      </c>
      <c r="AJ27" t="s">
        <v>20</v>
      </c>
      <c r="AK27" t="b">
        <v>1</v>
      </c>
      <c r="AL27">
        <v>0.5</v>
      </c>
      <c r="AM27" t="b">
        <v>1</v>
      </c>
      <c r="AN27">
        <v>2876.1693754145999</v>
      </c>
      <c r="AO27">
        <v>2925.6452414106502</v>
      </c>
      <c r="AP27">
        <v>2877.5528638048199</v>
      </c>
      <c r="AQ27">
        <v>2877.5528539899801</v>
      </c>
      <c r="AR27">
        <v>0</v>
      </c>
      <c r="AS27">
        <v>13735262</v>
      </c>
      <c r="AT27">
        <v>3607.5968379974302</v>
      </c>
      <c r="AU27">
        <v>3600</v>
      </c>
    </row>
    <row r="28" spans="1:47" x14ac:dyDescent="0.35">
      <c r="A28">
        <f t="shared" si="0"/>
        <v>7.2947397838542747</v>
      </c>
      <c r="B28">
        <f t="shared" si="1"/>
        <v>9.3393806984812013E-3</v>
      </c>
      <c r="C28">
        <f t="shared" si="2"/>
        <v>0</v>
      </c>
      <c r="D28">
        <f t="shared" si="3"/>
        <v>0</v>
      </c>
      <c r="E28">
        <f t="shared" si="4"/>
        <v>1</v>
      </c>
      <c r="F28">
        <f>(AQ28-AN28)/AN28*100</f>
        <v>0</v>
      </c>
      <c r="G28" t="s">
        <v>44</v>
      </c>
      <c r="H28">
        <v>9</v>
      </c>
      <c r="I28">
        <v>52</v>
      </c>
      <c r="J28">
        <v>146</v>
      </c>
      <c r="K28">
        <v>3</v>
      </c>
      <c r="L28">
        <v>6</v>
      </c>
      <c r="M28">
        <v>26</v>
      </c>
      <c r="N28" t="s">
        <v>20</v>
      </c>
      <c r="O28" t="b">
        <v>1</v>
      </c>
      <c r="P28">
        <v>0.5</v>
      </c>
      <c r="Q28" t="b">
        <v>0</v>
      </c>
      <c r="R28">
        <v>2804.4832435511198</v>
      </c>
      <c r="S28">
        <v>3009.0629984499701</v>
      </c>
      <c r="T28">
        <v>2804.5161085641898</v>
      </c>
      <c r="U28">
        <v>2804.4832435511198</v>
      </c>
      <c r="V28">
        <v>0</v>
      </c>
      <c r="W28">
        <v>121290554</v>
      </c>
      <c r="X28">
        <v>3600.19712185859</v>
      </c>
      <c r="Y28">
        <v>3600</v>
      </c>
      <c r="AC28" t="s">
        <v>44</v>
      </c>
      <c r="AD28">
        <v>9</v>
      </c>
      <c r="AE28">
        <v>52</v>
      </c>
      <c r="AF28">
        <v>146</v>
      </c>
      <c r="AG28">
        <v>3</v>
      </c>
      <c r="AH28">
        <v>6</v>
      </c>
      <c r="AI28">
        <v>26</v>
      </c>
      <c r="AJ28" t="s">
        <v>20</v>
      </c>
      <c r="AK28" t="b">
        <v>1</v>
      </c>
      <c r="AL28">
        <v>0.5</v>
      </c>
      <c r="AM28" t="b">
        <v>1</v>
      </c>
      <c r="AN28">
        <v>2804.4832435511198</v>
      </c>
      <c r="AO28">
        <v>2804.7451649178602</v>
      </c>
      <c r="AP28">
        <v>2804.5063506070801</v>
      </c>
      <c r="AQ28">
        <v>2804.4832435511198</v>
      </c>
      <c r="AR28">
        <v>0</v>
      </c>
      <c r="AS28">
        <v>12369275</v>
      </c>
      <c r="AT28">
        <v>1299.9590568542401</v>
      </c>
      <c r="AU28">
        <v>3600</v>
      </c>
    </row>
    <row r="29" spans="1:47" x14ac:dyDescent="0.35">
      <c r="A29">
        <f t="shared" si="0"/>
        <v>8.3920172818599372</v>
      </c>
      <c r="B29">
        <f t="shared" si="1"/>
        <v>0.94821242272914497</v>
      </c>
      <c r="C29">
        <f t="shared" si="2"/>
        <v>0.31134200792020417</v>
      </c>
      <c r="D29">
        <f t="shared" si="3"/>
        <v>0</v>
      </c>
      <c r="E29">
        <f t="shared" si="4"/>
        <v>0</v>
      </c>
      <c r="G29" t="s">
        <v>44</v>
      </c>
      <c r="H29">
        <v>9</v>
      </c>
      <c r="I29">
        <v>52</v>
      </c>
      <c r="J29">
        <v>146</v>
      </c>
      <c r="K29">
        <v>3</v>
      </c>
      <c r="L29">
        <v>6</v>
      </c>
      <c r="M29">
        <v>27</v>
      </c>
      <c r="N29" t="s">
        <v>20</v>
      </c>
      <c r="O29" t="b">
        <v>1</v>
      </c>
      <c r="P29">
        <v>0.5</v>
      </c>
      <c r="Q29" t="b">
        <v>0</v>
      </c>
      <c r="R29">
        <v>2763.2836167212299</v>
      </c>
      <c r="S29">
        <v>2995.1788553832798</v>
      </c>
      <c r="T29">
        <v>2771.91440396492</v>
      </c>
      <c r="U29">
        <v>2771.8868794180598</v>
      </c>
      <c r="V29">
        <v>0</v>
      </c>
      <c r="W29">
        <v>105069487</v>
      </c>
      <c r="X29">
        <v>3600.1726920604701</v>
      </c>
      <c r="Y29">
        <v>3600</v>
      </c>
      <c r="AC29" t="s">
        <v>44</v>
      </c>
      <c r="AD29">
        <v>9</v>
      </c>
      <c r="AE29">
        <v>52</v>
      </c>
      <c r="AF29">
        <v>146</v>
      </c>
      <c r="AG29">
        <v>3</v>
      </c>
      <c r="AH29">
        <v>6</v>
      </c>
      <c r="AI29">
        <v>27</v>
      </c>
      <c r="AJ29" t="s">
        <v>20</v>
      </c>
      <c r="AK29" t="b">
        <v>1</v>
      </c>
      <c r="AL29">
        <v>0.5</v>
      </c>
      <c r="AM29" t="b">
        <v>1</v>
      </c>
      <c r="AN29">
        <v>2763.2836167212299</v>
      </c>
      <c r="AO29">
        <v>2789.4854152502198</v>
      </c>
      <c r="AP29">
        <v>2771.8868794180598</v>
      </c>
      <c r="AQ29">
        <v>2771.8868794180598</v>
      </c>
      <c r="AR29">
        <v>0</v>
      </c>
      <c r="AS29">
        <v>16518722</v>
      </c>
      <c r="AT29">
        <v>3600.4966239929199</v>
      </c>
      <c r="AU29">
        <v>3600</v>
      </c>
    </row>
    <row r="30" spans="1:47" x14ac:dyDescent="0.35">
      <c r="A30">
        <f t="shared" si="0"/>
        <v>7.7177541657920372</v>
      </c>
      <c r="B30">
        <f t="shared" si="1"/>
        <v>0.38528039696898192</v>
      </c>
      <c r="C30">
        <f t="shared" si="2"/>
        <v>0.37696092046305718</v>
      </c>
      <c r="D30">
        <f t="shared" si="3"/>
        <v>0</v>
      </c>
      <c r="E30">
        <f t="shared" si="4"/>
        <v>1</v>
      </c>
      <c r="F30">
        <f t="shared" ref="F30:F31" si="7">(AQ30-AN30)/AN30*100</f>
        <v>0.37696092046305718</v>
      </c>
      <c r="G30" t="s">
        <v>44</v>
      </c>
      <c r="H30">
        <v>9</v>
      </c>
      <c r="I30">
        <v>52</v>
      </c>
      <c r="J30">
        <v>146</v>
      </c>
      <c r="K30">
        <v>3</v>
      </c>
      <c r="L30">
        <v>6</v>
      </c>
      <c r="M30">
        <v>28</v>
      </c>
      <c r="N30" t="s">
        <v>20</v>
      </c>
      <c r="O30" t="b">
        <v>1</v>
      </c>
      <c r="P30">
        <v>0.5</v>
      </c>
      <c r="Q30" t="b">
        <v>0</v>
      </c>
      <c r="R30">
        <v>2842.02023530715</v>
      </c>
      <c r="S30">
        <v>3061.3603704102202</v>
      </c>
      <c r="T30">
        <v>2852.7335409459401</v>
      </c>
      <c r="U30">
        <v>2852.7335409459101</v>
      </c>
      <c r="V30">
        <v>0</v>
      </c>
      <c r="W30">
        <v>112095343</v>
      </c>
      <c r="X30">
        <v>3600.2033290863001</v>
      </c>
      <c r="Y30">
        <v>3600</v>
      </c>
      <c r="AC30" t="s">
        <v>44</v>
      </c>
      <c r="AD30">
        <v>9</v>
      </c>
      <c r="AE30">
        <v>52</v>
      </c>
      <c r="AF30">
        <v>146</v>
      </c>
      <c r="AG30">
        <v>3</v>
      </c>
      <c r="AH30">
        <v>6</v>
      </c>
      <c r="AI30">
        <v>28</v>
      </c>
      <c r="AJ30" t="s">
        <v>20</v>
      </c>
      <c r="AK30" t="b">
        <v>1</v>
      </c>
      <c r="AL30">
        <v>0.5</v>
      </c>
      <c r="AM30" t="b">
        <v>1</v>
      </c>
      <c r="AN30">
        <v>2842.02023530715</v>
      </c>
      <c r="AO30">
        <v>2852.9699821516801</v>
      </c>
      <c r="AP30">
        <v>2852.7335409459101</v>
      </c>
      <c r="AQ30">
        <v>2852.7335409459101</v>
      </c>
      <c r="AR30">
        <v>0</v>
      </c>
      <c r="AS30">
        <v>5586693</v>
      </c>
      <c r="AT30">
        <v>943.01576304435696</v>
      </c>
      <c r="AU30">
        <v>3600</v>
      </c>
    </row>
    <row r="31" spans="1:47" x14ac:dyDescent="0.35">
      <c r="A31">
        <f t="shared" si="0"/>
        <v>7.2904091876170209</v>
      </c>
      <c r="B31">
        <f t="shared" si="1"/>
        <v>8.7243888113390823E-3</v>
      </c>
      <c r="C31">
        <f t="shared" si="2"/>
        <v>3.5309696054896719E-13</v>
      </c>
      <c r="D31">
        <f t="shared" si="3"/>
        <v>0</v>
      </c>
      <c r="E31">
        <f t="shared" si="4"/>
        <v>1</v>
      </c>
      <c r="F31">
        <f t="shared" si="7"/>
        <v>3.5309696054896719E-13</v>
      </c>
      <c r="G31" t="s">
        <v>44</v>
      </c>
      <c r="H31">
        <v>9</v>
      </c>
      <c r="I31">
        <v>52</v>
      </c>
      <c r="J31">
        <v>146</v>
      </c>
      <c r="K31">
        <v>3</v>
      </c>
      <c r="L31">
        <v>6</v>
      </c>
      <c r="M31">
        <v>29</v>
      </c>
      <c r="N31" t="s">
        <v>20</v>
      </c>
      <c r="O31" t="b">
        <v>1</v>
      </c>
      <c r="P31">
        <v>0.5</v>
      </c>
      <c r="Q31" t="b">
        <v>0</v>
      </c>
      <c r="R31">
        <v>2833.3412170832898</v>
      </c>
      <c r="S31">
        <v>3039.9033854900699</v>
      </c>
      <c r="T31">
        <v>2833.3412170832898</v>
      </c>
      <c r="U31">
        <v>2833.3412170832999</v>
      </c>
      <c r="V31">
        <v>0</v>
      </c>
      <c r="W31">
        <v>120925866</v>
      </c>
      <c r="X31">
        <v>3600.0591979026699</v>
      </c>
      <c r="Y31">
        <v>3600</v>
      </c>
      <c r="AC31" t="s">
        <v>44</v>
      </c>
      <c r="AD31">
        <v>9</v>
      </c>
      <c r="AE31">
        <v>52</v>
      </c>
      <c r="AF31">
        <v>146</v>
      </c>
      <c r="AG31">
        <v>3</v>
      </c>
      <c r="AH31">
        <v>6</v>
      </c>
      <c r="AI31">
        <v>29</v>
      </c>
      <c r="AJ31" t="s">
        <v>20</v>
      </c>
      <c r="AK31" t="b">
        <v>1</v>
      </c>
      <c r="AL31">
        <v>0.5</v>
      </c>
      <c r="AM31" t="b">
        <v>1</v>
      </c>
      <c r="AN31">
        <v>2833.3412170832898</v>
      </c>
      <c r="AO31">
        <v>2833.5884087874201</v>
      </c>
      <c r="AP31">
        <v>2833.3412170832898</v>
      </c>
      <c r="AQ31">
        <v>2833.3412170832999</v>
      </c>
      <c r="AR31">
        <v>0</v>
      </c>
      <c r="AS31">
        <v>6402533</v>
      </c>
      <c r="AT31">
        <v>1339.3060119152001</v>
      </c>
      <c r="AU31">
        <v>3600</v>
      </c>
    </row>
    <row r="32" spans="1:47" x14ac:dyDescent="0.35">
      <c r="A32">
        <f t="shared" si="0"/>
        <v>8.1836794752934203</v>
      </c>
      <c r="B32">
        <f t="shared" si="1"/>
        <v>0.87502303693746797</v>
      </c>
      <c r="C32">
        <f t="shared" si="2"/>
        <v>4.4794706716434736E-3</v>
      </c>
      <c r="D32">
        <f t="shared" si="3"/>
        <v>0</v>
      </c>
      <c r="E32">
        <f t="shared" si="4"/>
        <v>0</v>
      </c>
      <c r="G32" t="s">
        <v>44</v>
      </c>
      <c r="H32">
        <v>9</v>
      </c>
      <c r="I32">
        <v>52</v>
      </c>
      <c r="J32">
        <v>146</v>
      </c>
      <c r="K32">
        <v>3</v>
      </c>
      <c r="L32">
        <v>6</v>
      </c>
      <c r="M32">
        <v>30</v>
      </c>
      <c r="N32" t="s">
        <v>20</v>
      </c>
      <c r="O32" t="b">
        <v>1</v>
      </c>
      <c r="P32">
        <v>0.5</v>
      </c>
      <c r="Q32" t="b">
        <v>0</v>
      </c>
      <c r="R32">
        <v>2787.65920558992</v>
      </c>
      <c r="S32">
        <v>3015.7922998389099</v>
      </c>
      <c r="T32">
        <v>2787.7866522829199</v>
      </c>
      <c r="U32">
        <v>2787.7840779664598</v>
      </c>
      <c r="V32">
        <v>0</v>
      </c>
      <c r="W32">
        <v>116743750</v>
      </c>
      <c r="X32">
        <v>3600.1183788776302</v>
      </c>
      <c r="Y32">
        <v>3600</v>
      </c>
      <c r="AC32" t="s">
        <v>44</v>
      </c>
      <c r="AD32">
        <v>9</v>
      </c>
      <c r="AE32">
        <v>52</v>
      </c>
      <c r="AF32">
        <v>146</v>
      </c>
      <c r="AG32">
        <v>3</v>
      </c>
      <c r="AH32">
        <v>6</v>
      </c>
      <c r="AI32">
        <v>30</v>
      </c>
      <c r="AJ32" t="s">
        <v>20</v>
      </c>
      <c r="AK32" t="b">
        <v>1</v>
      </c>
      <c r="AL32">
        <v>0.5</v>
      </c>
      <c r="AM32" t="b">
        <v>1</v>
      </c>
      <c r="AN32">
        <v>2787.65920558992</v>
      </c>
      <c r="AO32">
        <v>2812.0518658301398</v>
      </c>
      <c r="AP32">
        <v>2787.81538034801</v>
      </c>
      <c r="AQ32">
        <v>2787.7840779664598</v>
      </c>
      <c r="AR32">
        <v>0</v>
      </c>
      <c r="AS32">
        <v>18668643</v>
      </c>
      <c r="AT32">
        <v>3601.0046949386501</v>
      </c>
      <c r="AU32">
        <v>3600</v>
      </c>
    </row>
    <row r="33" spans="1:47" x14ac:dyDescent="0.35">
      <c r="A33">
        <f t="shared" si="0"/>
        <v>8.0034150734389389</v>
      </c>
      <c r="B33">
        <f t="shared" si="1"/>
        <v>0.33735025321117729</v>
      </c>
      <c r="C33">
        <f t="shared" si="2"/>
        <v>0.32782332991029767</v>
      </c>
      <c r="D33">
        <f t="shared" si="3"/>
        <v>0</v>
      </c>
      <c r="E33">
        <f t="shared" si="4"/>
        <v>1</v>
      </c>
      <c r="F33">
        <f>(AQ33-AN33)/AN33*100</f>
        <v>0.32782332991029767</v>
      </c>
      <c r="G33" t="s">
        <v>44</v>
      </c>
      <c r="H33">
        <v>9</v>
      </c>
      <c r="I33">
        <v>52</v>
      </c>
      <c r="J33">
        <v>146</v>
      </c>
      <c r="K33">
        <v>3</v>
      </c>
      <c r="L33">
        <v>6</v>
      </c>
      <c r="M33">
        <v>31</v>
      </c>
      <c r="N33" t="s">
        <v>20</v>
      </c>
      <c r="O33" t="b">
        <v>1</v>
      </c>
      <c r="P33">
        <v>0.5</v>
      </c>
      <c r="Q33" t="b">
        <v>0</v>
      </c>
      <c r="R33">
        <v>2822.8087159576198</v>
      </c>
      <c r="S33">
        <v>3048.7298142249201</v>
      </c>
      <c r="T33">
        <v>2832.09691400162</v>
      </c>
      <c r="U33">
        <v>2832.0625414872702</v>
      </c>
      <c r="V33">
        <v>0</v>
      </c>
      <c r="W33">
        <v>115089706</v>
      </c>
      <c r="X33">
        <v>3600.0707008838599</v>
      </c>
      <c r="Y33">
        <v>3600</v>
      </c>
      <c r="AC33" t="s">
        <v>44</v>
      </c>
      <c r="AD33">
        <v>9</v>
      </c>
      <c r="AE33">
        <v>52</v>
      </c>
      <c r="AF33">
        <v>146</v>
      </c>
      <c r="AG33">
        <v>3</v>
      </c>
      <c r="AH33">
        <v>6</v>
      </c>
      <c r="AI33">
        <v>31</v>
      </c>
      <c r="AJ33" t="s">
        <v>20</v>
      </c>
      <c r="AK33" t="b">
        <v>1</v>
      </c>
      <c r="AL33">
        <v>0.5</v>
      </c>
      <c r="AM33" t="b">
        <v>1</v>
      </c>
      <c r="AN33">
        <v>2822.8087159576198</v>
      </c>
      <c r="AO33">
        <v>2832.33146830857</v>
      </c>
      <c r="AP33">
        <v>2832.0625414872702</v>
      </c>
      <c r="AQ33">
        <v>2832.0625414872702</v>
      </c>
      <c r="AR33">
        <v>0</v>
      </c>
      <c r="AS33">
        <v>10667766</v>
      </c>
      <c r="AT33">
        <v>1162.81028199195</v>
      </c>
      <c r="AU33">
        <v>3600</v>
      </c>
    </row>
    <row r="34" spans="1:47" x14ac:dyDescent="0.35">
      <c r="A34">
        <f t="shared" si="0"/>
        <v>9.0254426459378152</v>
      </c>
      <c r="B34">
        <f t="shared" si="1"/>
        <v>1.9296487079779712</v>
      </c>
      <c r="C34">
        <f t="shared" si="2"/>
        <v>0.59393507703045145</v>
      </c>
      <c r="D34">
        <f t="shared" si="3"/>
        <v>0</v>
      </c>
      <c r="E34">
        <f t="shared" si="4"/>
        <v>0</v>
      </c>
      <c r="G34" t="s">
        <v>44</v>
      </c>
      <c r="H34">
        <v>9</v>
      </c>
      <c r="I34">
        <v>52</v>
      </c>
      <c r="J34">
        <v>146</v>
      </c>
      <c r="K34">
        <v>3</v>
      </c>
      <c r="L34">
        <v>6</v>
      </c>
      <c r="M34">
        <v>32</v>
      </c>
      <c r="N34" t="s">
        <v>20</v>
      </c>
      <c r="O34" t="b">
        <v>1</v>
      </c>
      <c r="P34">
        <v>0.5</v>
      </c>
      <c r="Q34" t="b">
        <v>0</v>
      </c>
      <c r="R34">
        <v>2790.2411378105098</v>
      </c>
      <c r="S34">
        <v>3042.0727513869601</v>
      </c>
      <c r="T34">
        <v>2806.8264102645799</v>
      </c>
      <c r="U34">
        <v>2806.8133586617</v>
      </c>
      <c r="V34">
        <v>0</v>
      </c>
      <c r="W34">
        <v>119058848</v>
      </c>
      <c r="X34">
        <v>3600.1662819385501</v>
      </c>
      <c r="Y34">
        <v>3600</v>
      </c>
      <c r="AC34" t="s">
        <v>44</v>
      </c>
      <c r="AD34">
        <v>9</v>
      </c>
      <c r="AE34">
        <v>52</v>
      </c>
      <c r="AF34">
        <v>146</v>
      </c>
      <c r="AG34">
        <v>3</v>
      </c>
      <c r="AH34">
        <v>6</v>
      </c>
      <c r="AI34">
        <v>32</v>
      </c>
      <c r="AJ34" t="s">
        <v>20</v>
      </c>
      <c r="AK34" t="b">
        <v>1</v>
      </c>
      <c r="AL34">
        <v>0.5</v>
      </c>
      <c r="AM34" t="b">
        <v>1</v>
      </c>
      <c r="AN34">
        <v>2790.2411378105098</v>
      </c>
      <c r="AO34">
        <v>2844.0829898757402</v>
      </c>
      <c r="AP34">
        <v>2806.82326357995</v>
      </c>
      <c r="AQ34">
        <v>2806.8133586617</v>
      </c>
      <c r="AR34">
        <v>0</v>
      </c>
      <c r="AS34">
        <v>16680453</v>
      </c>
      <c r="AT34">
        <v>3600.1381769180298</v>
      </c>
      <c r="AU34">
        <v>3600</v>
      </c>
    </row>
    <row r="35" spans="1:47" x14ac:dyDescent="0.35">
      <c r="A35">
        <f t="shared" si="0"/>
        <v>7.4676118006428789</v>
      </c>
      <c r="B35">
        <f t="shared" si="1"/>
        <v>0.34433341019316233</v>
      </c>
      <c r="C35">
        <f t="shared" si="2"/>
        <v>0.33515931049803033</v>
      </c>
      <c r="D35">
        <f t="shared" si="3"/>
        <v>0</v>
      </c>
      <c r="E35">
        <f t="shared" si="4"/>
        <v>1</v>
      </c>
      <c r="F35">
        <f t="shared" ref="F35:F37" si="8">(AQ35-AN35)/AN35*100</f>
        <v>0.33515931049803033</v>
      </c>
      <c r="G35" t="s">
        <v>44</v>
      </c>
      <c r="H35">
        <v>9</v>
      </c>
      <c r="I35">
        <v>52</v>
      </c>
      <c r="J35">
        <v>146</v>
      </c>
      <c r="K35">
        <v>3</v>
      </c>
      <c r="L35">
        <v>6</v>
      </c>
      <c r="M35">
        <v>33</v>
      </c>
      <c r="N35" t="s">
        <v>20</v>
      </c>
      <c r="O35" t="b">
        <v>1</v>
      </c>
      <c r="P35">
        <v>0.5</v>
      </c>
      <c r="Q35" t="b">
        <v>0</v>
      </c>
      <c r="R35">
        <v>2781.0193091247902</v>
      </c>
      <c r="S35">
        <v>2988.6950352311501</v>
      </c>
      <c r="T35">
        <v>2790.3815826620098</v>
      </c>
      <c r="U35">
        <v>2790.3401542660699</v>
      </c>
      <c r="V35">
        <v>0</v>
      </c>
      <c r="W35">
        <v>107566453</v>
      </c>
      <c r="X35">
        <v>3600.1493940353298</v>
      </c>
      <c r="Y35">
        <v>3600</v>
      </c>
      <c r="AC35" t="s">
        <v>44</v>
      </c>
      <c r="AD35">
        <v>9</v>
      </c>
      <c r="AE35">
        <v>52</v>
      </c>
      <c r="AF35">
        <v>146</v>
      </c>
      <c r="AG35">
        <v>3</v>
      </c>
      <c r="AH35">
        <v>6</v>
      </c>
      <c r="AI35">
        <v>33</v>
      </c>
      <c r="AJ35" t="s">
        <v>20</v>
      </c>
      <c r="AK35" t="b">
        <v>1</v>
      </c>
      <c r="AL35">
        <v>0.5</v>
      </c>
      <c r="AM35" t="b">
        <v>1</v>
      </c>
      <c r="AN35">
        <v>2781.0193091247902</v>
      </c>
      <c r="AO35">
        <v>2790.5952877500299</v>
      </c>
      <c r="AP35">
        <v>2790.3401542660699</v>
      </c>
      <c r="AQ35">
        <v>2790.3401542660699</v>
      </c>
      <c r="AR35">
        <v>0</v>
      </c>
      <c r="AS35">
        <v>13302133</v>
      </c>
      <c r="AT35">
        <v>2929.5331079959801</v>
      </c>
      <c r="AU35">
        <v>3600</v>
      </c>
    </row>
    <row r="36" spans="1:47" x14ac:dyDescent="0.35">
      <c r="A36">
        <f t="shared" si="0"/>
        <v>7.3487539372268857</v>
      </c>
      <c r="B36">
        <f t="shared" si="1"/>
        <v>0.59843537525511614</v>
      </c>
      <c r="C36">
        <f t="shared" si="2"/>
        <v>0.5893576878481267</v>
      </c>
      <c r="D36">
        <f t="shared" si="3"/>
        <v>0</v>
      </c>
      <c r="E36">
        <f t="shared" si="4"/>
        <v>1</v>
      </c>
      <c r="F36">
        <f t="shared" si="8"/>
        <v>0.5893576878481267</v>
      </c>
      <c r="G36" t="s">
        <v>44</v>
      </c>
      <c r="H36">
        <v>9</v>
      </c>
      <c r="I36">
        <v>52</v>
      </c>
      <c r="J36">
        <v>146</v>
      </c>
      <c r="K36">
        <v>3</v>
      </c>
      <c r="L36">
        <v>6</v>
      </c>
      <c r="M36">
        <v>34</v>
      </c>
      <c r="N36" t="s">
        <v>20</v>
      </c>
      <c r="O36" t="b">
        <v>1</v>
      </c>
      <c r="P36">
        <v>0.5</v>
      </c>
      <c r="Q36" t="b">
        <v>0</v>
      </c>
      <c r="R36">
        <v>2805.4045432797102</v>
      </c>
      <c r="S36">
        <v>3011.5668201091198</v>
      </c>
      <c r="T36">
        <v>2821.9707643735601</v>
      </c>
      <c r="U36">
        <v>2821.9384106307698</v>
      </c>
      <c r="V36">
        <v>0</v>
      </c>
      <c r="W36">
        <v>111899955</v>
      </c>
      <c r="X36">
        <v>3600.0500888824399</v>
      </c>
      <c r="Y36">
        <v>3600</v>
      </c>
      <c r="AC36" t="s">
        <v>44</v>
      </c>
      <c r="AD36">
        <v>9</v>
      </c>
      <c r="AE36">
        <v>52</v>
      </c>
      <c r="AF36">
        <v>146</v>
      </c>
      <c r="AG36">
        <v>3</v>
      </c>
      <c r="AH36">
        <v>6</v>
      </c>
      <c r="AI36">
        <v>34</v>
      </c>
      <c r="AJ36" t="s">
        <v>20</v>
      </c>
      <c r="AK36" t="b">
        <v>1</v>
      </c>
      <c r="AL36">
        <v>0.5</v>
      </c>
      <c r="AM36" t="b">
        <v>1</v>
      </c>
      <c r="AN36">
        <v>2805.4045432797102</v>
      </c>
      <c r="AO36">
        <v>2822.1930764857102</v>
      </c>
      <c r="AP36">
        <v>2821.9442945749902</v>
      </c>
      <c r="AQ36">
        <v>2821.9384106307698</v>
      </c>
      <c r="AR36">
        <v>0</v>
      </c>
      <c r="AS36">
        <v>10669278</v>
      </c>
      <c r="AT36">
        <v>1231.7545340061099</v>
      </c>
      <c r="AU36">
        <v>3600</v>
      </c>
    </row>
    <row r="37" spans="1:47" x14ac:dyDescent="0.35">
      <c r="A37">
        <f t="shared" si="0"/>
        <v>6.7063065942209388</v>
      </c>
      <c r="B37">
        <f t="shared" si="1"/>
        <v>1.0388726306309718E-2</v>
      </c>
      <c r="C37">
        <f t="shared" si="2"/>
        <v>0</v>
      </c>
      <c r="D37">
        <f t="shared" si="3"/>
        <v>0</v>
      </c>
      <c r="E37">
        <f t="shared" si="4"/>
        <v>1</v>
      </c>
      <c r="F37">
        <f t="shared" si="8"/>
        <v>0</v>
      </c>
      <c r="G37" t="s">
        <v>44</v>
      </c>
      <c r="H37">
        <v>9</v>
      </c>
      <c r="I37">
        <v>52</v>
      </c>
      <c r="J37">
        <v>146</v>
      </c>
      <c r="K37">
        <v>3</v>
      </c>
      <c r="L37">
        <v>6</v>
      </c>
      <c r="M37">
        <v>35</v>
      </c>
      <c r="N37" t="s">
        <v>20</v>
      </c>
      <c r="O37" t="b">
        <v>1</v>
      </c>
      <c r="P37">
        <v>0.5</v>
      </c>
      <c r="Q37" t="b">
        <v>0</v>
      </c>
      <c r="R37">
        <v>2917.3658363316799</v>
      </c>
      <c r="S37">
        <v>3113.0133337911402</v>
      </c>
      <c r="T37">
        <v>2917.37494006414</v>
      </c>
      <c r="U37">
        <v>2917.3658363316799</v>
      </c>
      <c r="V37">
        <v>0</v>
      </c>
      <c r="W37">
        <v>133899327</v>
      </c>
      <c r="X37">
        <v>3600.0617439746802</v>
      </c>
      <c r="Y37">
        <v>3600</v>
      </c>
      <c r="AC37" t="s">
        <v>44</v>
      </c>
      <c r="AD37">
        <v>9</v>
      </c>
      <c r="AE37">
        <v>52</v>
      </c>
      <c r="AF37">
        <v>146</v>
      </c>
      <c r="AG37">
        <v>3</v>
      </c>
      <c r="AH37">
        <v>6</v>
      </c>
      <c r="AI37">
        <v>35</v>
      </c>
      <c r="AJ37" t="s">
        <v>20</v>
      </c>
      <c r="AK37" t="b">
        <v>1</v>
      </c>
      <c r="AL37">
        <v>0.5</v>
      </c>
      <c r="AM37" t="b">
        <v>1</v>
      </c>
      <c r="AN37">
        <v>2917.3658363316799</v>
      </c>
      <c r="AO37">
        <v>2917.6689134837702</v>
      </c>
      <c r="AP37">
        <v>2917.3780181053098</v>
      </c>
      <c r="AQ37">
        <v>2917.3658363316799</v>
      </c>
      <c r="AR37">
        <v>0</v>
      </c>
      <c r="AS37">
        <v>20605353</v>
      </c>
      <c r="AT37">
        <v>2583.4443969726499</v>
      </c>
      <c r="AU37">
        <v>3600</v>
      </c>
    </row>
    <row r="38" spans="1:47" x14ac:dyDescent="0.35">
      <c r="A38">
        <f t="shared" si="0"/>
        <v>8.6474930475923859</v>
      </c>
      <c r="B38">
        <f t="shared" si="1"/>
        <v>0.83921955610093069</v>
      </c>
      <c r="C38">
        <f t="shared" si="2"/>
        <v>0.30708324300166079</v>
      </c>
      <c r="D38">
        <f t="shared" si="3"/>
        <v>0</v>
      </c>
      <c r="E38">
        <f t="shared" si="4"/>
        <v>0</v>
      </c>
      <c r="G38" t="s">
        <v>44</v>
      </c>
      <c r="H38">
        <v>9</v>
      </c>
      <c r="I38">
        <v>52</v>
      </c>
      <c r="J38">
        <v>146</v>
      </c>
      <c r="K38">
        <v>3</v>
      </c>
      <c r="L38">
        <v>6</v>
      </c>
      <c r="M38">
        <v>36</v>
      </c>
      <c r="N38" t="s">
        <v>20</v>
      </c>
      <c r="O38" t="b">
        <v>1</v>
      </c>
      <c r="P38">
        <v>0.5</v>
      </c>
      <c r="Q38" t="b">
        <v>0</v>
      </c>
      <c r="R38">
        <v>2773.5179710648699</v>
      </c>
      <c r="S38">
        <v>3013.35774478643</v>
      </c>
      <c r="T38">
        <v>2782.0349799956498</v>
      </c>
      <c r="U38">
        <v>2782.0349799956498</v>
      </c>
      <c r="V38">
        <v>0</v>
      </c>
      <c r="W38">
        <v>115908930</v>
      </c>
      <c r="X38">
        <v>3600.1106441020902</v>
      </c>
      <c r="Y38">
        <v>3600</v>
      </c>
      <c r="AC38" t="s">
        <v>44</v>
      </c>
      <c r="AD38">
        <v>9</v>
      </c>
      <c r="AE38">
        <v>52</v>
      </c>
      <c r="AF38">
        <v>146</v>
      </c>
      <c r="AG38">
        <v>3</v>
      </c>
      <c r="AH38">
        <v>6</v>
      </c>
      <c r="AI38">
        <v>36</v>
      </c>
      <c r="AJ38" t="s">
        <v>20</v>
      </c>
      <c r="AK38" t="b">
        <v>1</v>
      </c>
      <c r="AL38">
        <v>0.5</v>
      </c>
      <c r="AM38" t="b">
        <v>1</v>
      </c>
      <c r="AN38">
        <v>2773.5179710648699</v>
      </c>
      <c r="AO38">
        <v>2796.7938762700201</v>
      </c>
      <c r="AP38">
        <v>2782.0350121319698</v>
      </c>
      <c r="AQ38">
        <v>2782.0349799956498</v>
      </c>
      <c r="AR38">
        <v>0</v>
      </c>
      <c r="AS38">
        <v>15368811</v>
      </c>
      <c r="AT38">
        <v>3601.6905140876702</v>
      </c>
      <c r="AU38">
        <v>3600</v>
      </c>
    </row>
    <row r="39" spans="1:47" x14ac:dyDescent="0.35">
      <c r="A39">
        <f t="shared" si="0"/>
        <v>7.7394407262243545</v>
      </c>
      <c r="B39">
        <f t="shared" si="1"/>
        <v>0.34587314992036822</v>
      </c>
      <c r="C39">
        <f t="shared" si="2"/>
        <v>8.8631858416536091E-2</v>
      </c>
      <c r="D39">
        <f t="shared" si="3"/>
        <v>0</v>
      </c>
      <c r="E39">
        <f t="shared" si="4"/>
        <v>0</v>
      </c>
      <c r="G39" t="s">
        <v>44</v>
      </c>
      <c r="H39">
        <v>9</v>
      </c>
      <c r="I39">
        <v>52</v>
      </c>
      <c r="J39">
        <v>146</v>
      </c>
      <c r="K39">
        <v>3</v>
      </c>
      <c r="L39">
        <v>6</v>
      </c>
      <c r="M39">
        <v>37</v>
      </c>
      <c r="N39" t="s">
        <v>20</v>
      </c>
      <c r="O39" t="b">
        <v>1</v>
      </c>
      <c r="P39">
        <v>0.5</v>
      </c>
      <c r="Q39" t="b">
        <v>0</v>
      </c>
      <c r="R39">
        <v>2840.31628035932</v>
      </c>
      <c r="S39">
        <v>3060.1408753150299</v>
      </c>
      <c r="T39">
        <v>2842.8905004499302</v>
      </c>
      <c r="U39">
        <v>2842.8337054635099</v>
      </c>
      <c r="V39">
        <v>0</v>
      </c>
      <c r="W39">
        <v>120769444</v>
      </c>
      <c r="X39">
        <v>3600.1510388851102</v>
      </c>
      <c r="Y39">
        <v>3600</v>
      </c>
      <c r="AC39" t="s">
        <v>44</v>
      </c>
      <c r="AD39">
        <v>9</v>
      </c>
      <c r="AE39">
        <v>52</v>
      </c>
      <c r="AF39">
        <v>146</v>
      </c>
      <c r="AG39">
        <v>3</v>
      </c>
      <c r="AH39">
        <v>6</v>
      </c>
      <c r="AI39">
        <v>37</v>
      </c>
      <c r="AJ39" t="s">
        <v>20</v>
      </c>
      <c r="AK39" t="b">
        <v>1</v>
      </c>
      <c r="AL39">
        <v>0.5</v>
      </c>
      <c r="AM39" t="b">
        <v>1</v>
      </c>
      <c r="AN39">
        <v>2840.31628035932</v>
      </c>
      <c r="AO39">
        <v>2850.1401717458998</v>
      </c>
      <c r="AP39">
        <v>2842.8337054635199</v>
      </c>
      <c r="AQ39">
        <v>2842.8337054635099</v>
      </c>
      <c r="AR39">
        <v>0</v>
      </c>
      <c r="AS39">
        <v>18858869</v>
      </c>
      <c r="AT39">
        <v>3600.2222499847398</v>
      </c>
      <c r="AU39">
        <v>3600</v>
      </c>
    </row>
    <row r="40" spans="1:47" x14ac:dyDescent="0.35">
      <c r="A40">
        <f t="shared" si="0"/>
        <v>10.449995827580116</v>
      </c>
      <c r="B40">
        <f t="shared" si="1"/>
        <v>1.2791240095239544</v>
      </c>
      <c r="C40">
        <f t="shared" si="2"/>
        <v>0.2185748855776552</v>
      </c>
      <c r="D40">
        <f t="shared" si="3"/>
        <v>0</v>
      </c>
      <c r="E40">
        <f t="shared" si="4"/>
        <v>0</v>
      </c>
      <c r="G40" t="s">
        <v>44</v>
      </c>
      <c r="H40">
        <v>9</v>
      </c>
      <c r="I40">
        <v>52</v>
      </c>
      <c r="J40">
        <v>146</v>
      </c>
      <c r="K40">
        <v>3</v>
      </c>
      <c r="L40">
        <v>6</v>
      </c>
      <c r="M40">
        <v>38</v>
      </c>
      <c r="N40" t="s">
        <v>20</v>
      </c>
      <c r="O40" t="b">
        <v>1</v>
      </c>
      <c r="P40">
        <v>0.5</v>
      </c>
      <c r="Q40" t="b">
        <v>0</v>
      </c>
      <c r="R40">
        <v>2809.0193830793601</v>
      </c>
      <c r="S40">
        <v>3102.5617914070699</v>
      </c>
      <c r="T40">
        <v>2815.1591939817899</v>
      </c>
      <c r="U40">
        <v>2815.1591939817799</v>
      </c>
      <c r="V40">
        <v>0</v>
      </c>
      <c r="W40">
        <v>103388845</v>
      </c>
      <c r="X40">
        <v>3600.16861414909</v>
      </c>
      <c r="Y40">
        <v>3600</v>
      </c>
      <c r="AC40" t="s">
        <v>44</v>
      </c>
      <c r="AD40">
        <v>9</v>
      </c>
      <c r="AE40">
        <v>52</v>
      </c>
      <c r="AF40">
        <v>146</v>
      </c>
      <c r="AG40">
        <v>3</v>
      </c>
      <c r="AH40">
        <v>6</v>
      </c>
      <c r="AI40">
        <v>38</v>
      </c>
      <c r="AJ40" t="s">
        <v>20</v>
      </c>
      <c r="AK40" t="b">
        <v>1</v>
      </c>
      <c r="AL40">
        <v>0.5</v>
      </c>
      <c r="AM40" t="b">
        <v>1</v>
      </c>
      <c r="AN40">
        <v>2809.0193830793601</v>
      </c>
      <c r="AO40">
        <v>2844.9502244405098</v>
      </c>
      <c r="AP40">
        <v>2815.1591939817799</v>
      </c>
      <c r="AQ40">
        <v>2815.1591939817799</v>
      </c>
      <c r="AR40">
        <v>0</v>
      </c>
      <c r="AS40">
        <v>14734363</v>
      </c>
      <c r="AT40">
        <v>3600.78287005424</v>
      </c>
      <c r="AU40">
        <v>3600</v>
      </c>
    </row>
    <row r="41" spans="1:47" x14ac:dyDescent="0.35">
      <c r="A41">
        <f t="shared" si="0"/>
        <v>11.580439367893479</v>
      </c>
      <c r="B41">
        <f t="shared" si="1"/>
        <v>1.0248596907813712</v>
      </c>
      <c r="C41">
        <f t="shared" si="2"/>
        <v>1.1762548981698635E-2</v>
      </c>
      <c r="D41">
        <f t="shared" si="3"/>
        <v>0</v>
      </c>
      <c r="E41">
        <f t="shared" si="4"/>
        <v>0</v>
      </c>
      <c r="G41" t="s">
        <v>44</v>
      </c>
      <c r="H41">
        <v>9</v>
      </c>
      <c r="I41">
        <v>52</v>
      </c>
      <c r="J41">
        <v>146</v>
      </c>
      <c r="K41">
        <v>3</v>
      </c>
      <c r="L41">
        <v>6</v>
      </c>
      <c r="M41">
        <v>39</v>
      </c>
      <c r="N41" t="s">
        <v>20</v>
      </c>
      <c r="O41" t="b">
        <v>1</v>
      </c>
      <c r="P41">
        <v>0.5</v>
      </c>
      <c r="Q41" t="b">
        <v>0</v>
      </c>
      <c r="R41">
        <v>2804.27980910618</v>
      </c>
      <c r="S41">
        <v>3129.0277321058002</v>
      </c>
      <c r="T41">
        <v>2804.28067708143</v>
      </c>
      <c r="U41">
        <v>2804.27980910618</v>
      </c>
      <c r="V41">
        <v>0</v>
      </c>
      <c r="W41">
        <v>150301806</v>
      </c>
      <c r="X41">
        <v>3600.0855889320301</v>
      </c>
      <c r="Y41">
        <v>3600</v>
      </c>
      <c r="AC41" t="s">
        <v>44</v>
      </c>
      <c r="AD41">
        <v>9</v>
      </c>
      <c r="AE41">
        <v>52</v>
      </c>
      <c r="AF41">
        <v>146</v>
      </c>
      <c r="AG41">
        <v>3</v>
      </c>
      <c r="AH41">
        <v>6</v>
      </c>
      <c r="AI41">
        <v>39</v>
      </c>
      <c r="AJ41" t="s">
        <v>20</v>
      </c>
      <c r="AK41" t="b">
        <v>1</v>
      </c>
      <c r="AL41">
        <v>0.5</v>
      </c>
      <c r="AM41" t="b">
        <v>1</v>
      </c>
      <c r="AN41">
        <v>2804.27980910618</v>
      </c>
      <c r="AO41">
        <v>2833.01974248643</v>
      </c>
      <c r="AP41">
        <v>2804.6096656935601</v>
      </c>
      <c r="AQ41">
        <v>2804.60966389231</v>
      </c>
      <c r="AR41">
        <v>0</v>
      </c>
      <c r="AS41">
        <v>16759772</v>
      </c>
      <c r="AT41">
        <v>3603.7307689189902</v>
      </c>
      <c r="AU41">
        <v>3600</v>
      </c>
    </row>
    <row r="42" spans="1:47" x14ac:dyDescent="0.35">
      <c r="A42">
        <f t="shared" si="0"/>
        <v>6.4014052354095661</v>
      </c>
      <c r="B42">
        <f t="shared" si="1"/>
        <v>0.17821756735595851</v>
      </c>
      <c r="C42">
        <f t="shared" si="2"/>
        <v>0.169667631853712</v>
      </c>
      <c r="D42">
        <f t="shared" si="3"/>
        <v>0</v>
      </c>
      <c r="E42">
        <f t="shared" si="4"/>
        <v>1</v>
      </c>
      <c r="F42">
        <f t="shared" ref="F42:F43" si="9">(AQ42-AN42)/AN42*100</f>
        <v>0.169667631853712</v>
      </c>
      <c r="G42" t="s">
        <v>44</v>
      </c>
      <c r="H42">
        <v>9</v>
      </c>
      <c r="I42">
        <v>52</v>
      </c>
      <c r="J42">
        <v>146</v>
      </c>
      <c r="K42">
        <v>3</v>
      </c>
      <c r="L42">
        <v>6</v>
      </c>
      <c r="M42">
        <v>40</v>
      </c>
      <c r="N42" t="s">
        <v>20</v>
      </c>
      <c r="O42" t="b">
        <v>1</v>
      </c>
      <c r="P42">
        <v>0.5</v>
      </c>
      <c r="Q42" t="b">
        <v>0</v>
      </c>
      <c r="R42">
        <v>2902.9476348067901</v>
      </c>
      <c r="S42">
        <v>3088.7770766825101</v>
      </c>
      <c r="T42">
        <v>2907.8893733135901</v>
      </c>
      <c r="U42">
        <v>2907.8729973127201</v>
      </c>
      <c r="V42">
        <v>0</v>
      </c>
      <c r="W42">
        <v>137572243</v>
      </c>
      <c r="X42">
        <v>3600.0481760501798</v>
      </c>
      <c r="Y42">
        <v>3600</v>
      </c>
      <c r="AC42" t="s">
        <v>44</v>
      </c>
      <c r="AD42">
        <v>9</v>
      </c>
      <c r="AE42">
        <v>52</v>
      </c>
      <c r="AF42">
        <v>146</v>
      </c>
      <c r="AG42">
        <v>3</v>
      </c>
      <c r="AH42">
        <v>6</v>
      </c>
      <c r="AI42">
        <v>40</v>
      </c>
      <c r="AJ42" t="s">
        <v>20</v>
      </c>
      <c r="AK42" t="b">
        <v>1</v>
      </c>
      <c r="AL42">
        <v>0.5</v>
      </c>
      <c r="AM42" t="b">
        <v>1</v>
      </c>
      <c r="AN42">
        <v>2902.9476348067901</v>
      </c>
      <c r="AO42">
        <v>2908.1211974631601</v>
      </c>
      <c r="AP42">
        <v>2907.8729973127201</v>
      </c>
      <c r="AQ42">
        <v>2907.8729973127201</v>
      </c>
      <c r="AR42">
        <v>0</v>
      </c>
      <c r="AS42">
        <v>8867513</v>
      </c>
      <c r="AT42">
        <v>995.97377395629803</v>
      </c>
      <c r="AU42">
        <v>3600</v>
      </c>
    </row>
    <row r="43" spans="1:47" x14ac:dyDescent="0.35">
      <c r="A43">
        <f t="shared" si="0"/>
        <v>8.6318163857540053</v>
      </c>
      <c r="B43">
        <f t="shared" si="1"/>
        <v>0.73970686194644664</v>
      </c>
      <c r="C43">
        <f t="shared" si="2"/>
        <v>0.72918953852822577</v>
      </c>
      <c r="D43">
        <f t="shared" si="3"/>
        <v>0</v>
      </c>
      <c r="E43">
        <f t="shared" si="4"/>
        <v>1</v>
      </c>
      <c r="F43">
        <f t="shared" si="9"/>
        <v>0.72918953852822577</v>
      </c>
      <c r="G43" t="s">
        <v>44</v>
      </c>
      <c r="H43">
        <v>9</v>
      </c>
      <c r="I43">
        <v>52</v>
      </c>
      <c r="J43">
        <v>146</v>
      </c>
      <c r="K43">
        <v>3</v>
      </c>
      <c r="L43">
        <v>6</v>
      </c>
      <c r="M43">
        <v>41</v>
      </c>
      <c r="N43" t="s">
        <v>20</v>
      </c>
      <c r="O43" t="b">
        <v>1</v>
      </c>
      <c r="P43">
        <v>0.5</v>
      </c>
      <c r="Q43" t="b">
        <v>0</v>
      </c>
      <c r="R43">
        <v>2768.59583632773</v>
      </c>
      <c r="S43">
        <v>3007.5759453831702</v>
      </c>
      <c r="T43">
        <v>2788.8143515704901</v>
      </c>
      <c r="U43">
        <v>2788.7841475303599</v>
      </c>
      <c r="V43">
        <v>0</v>
      </c>
      <c r="W43">
        <v>116257459</v>
      </c>
      <c r="X43">
        <v>3600.08425307273</v>
      </c>
      <c r="Y43">
        <v>3600</v>
      </c>
      <c r="AC43" t="s">
        <v>44</v>
      </c>
      <c r="AD43">
        <v>9</v>
      </c>
      <c r="AE43">
        <v>52</v>
      </c>
      <c r="AF43">
        <v>146</v>
      </c>
      <c r="AG43">
        <v>3</v>
      </c>
      <c r="AH43">
        <v>6</v>
      </c>
      <c r="AI43">
        <v>41</v>
      </c>
      <c r="AJ43" t="s">
        <v>20</v>
      </c>
      <c r="AK43" t="b">
        <v>1</v>
      </c>
      <c r="AL43">
        <v>0.5</v>
      </c>
      <c r="AM43" t="b">
        <v>1</v>
      </c>
      <c r="AN43">
        <v>2768.59583632773</v>
      </c>
      <c r="AO43">
        <v>2789.0753297086098</v>
      </c>
      <c r="AP43">
        <v>2788.8057439344002</v>
      </c>
      <c r="AQ43">
        <v>2788.7841475303599</v>
      </c>
      <c r="AR43">
        <v>0</v>
      </c>
      <c r="AS43">
        <v>11732691</v>
      </c>
      <c r="AT43">
        <v>1615.51449894905</v>
      </c>
      <c r="AU43">
        <v>3600</v>
      </c>
    </row>
    <row r="44" spans="1:47" x14ac:dyDescent="0.35">
      <c r="A44">
        <f t="shared" si="0"/>
        <v>9.4481840283743352</v>
      </c>
      <c r="B44">
        <f t="shared" si="1"/>
        <v>0.94586408202219019</v>
      </c>
      <c r="C44">
        <f t="shared" si="2"/>
        <v>0</v>
      </c>
      <c r="D44">
        <f t="shared" si="3"/>
        <v>0</v>
      </c>
      <c r="E44">
        <f t="shared" si="4"/>
        <v>0</v>
      </c>
      <c r="G44" t="s">
        <v>44</v>
      </c>
      <c r="H44">
        <v>9</v>
      </c>
      <c r="I44">
        <v>52</v>
      </c>
      <c r="J44">
        <v>146</v>
      </c>
      <c r="K44">
        <v>3</v>
      </c>
      <c r="L44">
        <v>6</v>
      </c>
      <c r="M44">
        <v>42</v>
      </c>
      <c r="N44" t="s">
        <v>20</v>
      </c>
      <c r="O44" t="b">
        <v>1</v>
      </c>
      <c r="P44">
        <v>0.5</v>
      </c>
      <c r="Q44" t="b">
        <v>0</v>
      </c>
      <c r="R44">
        <v>2772.5735135002701</v>
      </c>
      <c r="S44">
        <v>3034.5313613777398</v>
      </c>
      <c r="T44">
        <v>2772.5735135002701</v>
      </c>
      <c r="U44">
        <v>2772.5735135002701</v>
      </c>
      <c r="V44">
        <v>0</v>
      </c>
      <c r="W44">
        <v>114674025</v>
      </c>
      <c r="X44">
        <v>3600.0799140930098</v>
      </c>
      <c r="Y44">
        <v>3600</v>
      </c>
      <c r="AC44" t="s">
        <v>44</v>
      </c>
      <c r="AD44">
        <v>9</v>
      </c>
      <c r="AE44">
        <v>52</v>
      </c>
      <c r="AF44">
        <v>146</v>
      </c>
      <c r="AG44">
        <v>3</v>
      </c>
      <c r="AH44">
        <v>6</v>
      </c>
      <c r="AI44">
        <v>42</v>
      </c>
      <c r="AJ44" t="s">
        <v>20</v>
      </c>
      <c r="AK44" t="b">
        <v>1</v>
      </c>
      <c r="AL44">
        <v>0.5</v>
      </c>
      <c r="AM44" t="b">
        <v>1</v>
      </c>
      <c r="AN44">
        <v>2772.5735135002701</v>
      </c>
      <c r="AO44">
        <v>2798.7982905121298</v>
      </c>
      <c r="AP44">
        <v>2772.5911243897899</v>
      </c>
      <c r="AQ44">
        <v>2772.5735135002701</v>
      </c>
      <c r="AR44">
        <v>0</v>
      </c>
      <c r="AS44">
        <v>17207186</v>
      </c>
      <c r="AT44">
        <v>3602.41686916351</v>
      </c>
      <c r="AU44">
        <v>3600</v>
      </c>
    </row>
    <row r="45" spans="1:47" x14ac:dyDescent="0.35">
      <c r="A45">
        <f t="shared" si="0"/>
        <v>7.0155824406224072</v>
      </c>
      <c r="B45">
        <f t="shared" si="1"/>
        <v>6.1278278234016853E-2</v>
      </c>
      <c r="C45">
        <f t="shared" si="2"/>
        <v>5.1366236478129712E-2</v>
      </c>
      <c r="D45">
        <f t="shared" si="3"/>
        <v>0</v>
      </c>
      <c r="E45">
        <f t="shared" si="4"/>
        <v>1</v>
      </c>
      <c r="F45">
        <f>(AQ45-AN45)/AN45*100</f>
        <v>5.1366236478129712E-2</v>
      </c>
      <c r="G45" t="s">
        <v>44</v>
      </c>
      <c r="H45">
        <v>9</v>
      </c>
      <c r="I45">
        <v>52</v>
      </c>
      <c r="J45">
        <v>146</v>
      </c>
      <c r="K45">
        <v>3</v>
      </c>
      <c r="L45">
        <v>6</v>
      </c>
      <c r="M45">
        <v>43</v>
      </c>
      <c r="N45" t="s">
        <v>20</v>
      </c>
      <c r="O45" t="b">
        <v>1</v>
      </c>
      <c r="P45">
        <v>0.5</v>
      </c>
      <c r="Q45" t="b">
        <v>0</v>
      </c>
      <c r="R45">
        <v>2810.5268323189598</v>
      </c>
      <c r="S45">
        <v>3007.7016592561099</v>
      </c>
      <c r="T45">
        <v>2811.9704941779601</v>
      </c>
      <c r="U45">
        <v>2811.97049417793</v>
      </c>
      <c r="V45">
        <v>0</v>
      </c>
      <c r="W45">
        <v>126232469</v>
      </c>
      <c r="X45">
        <v>3600.0823030471802</v>
      </c>
      <c r="Y45">
        <v>3600</v>
      </c>
      <c r="AC45" t="s">
        <v>44</v>
      </c>
      <c r="AD45">
        <v>9</v>
      </c>
      <c r="AE45">
        <v>52</v>
      </c>
      <c r="AF45">
        <v>146</v>
      </c>
      <c r="AG45">
        <v>3</v>
      </c>
      <c r="AH45">
        <v>6</v>
      </c>
      <c r="AI45">
        <v>43</v>
      </c>
      <c r="AJ45" t="s">
        <v>20</v>
      </c>
      <c r="AK45" t="b">
        <v>1</v>
      </c>
      <c r="AL45">
        <v>0.5</v>
      </c>
      <c r="AM45" t="b">
        <v>1</v>
      </c>
      <c r="AN45">
        <v>2810.5268323189598</v>
      </c>
      <c r="AO45">
        <v>2812.2490747711099</v>
      </c>
      <c r="AP45">
        <v>2811.97049417793</v>
      </c>
      <c r="AQ45">
        <v>2811.97049417793</v>
      </c>
      <c r="AR45">
        <v>0</v>
      </c>
      <c r="AS45">
        <v>9968444</v>
      </c>
      <c r="AT45">
        <v>1166.1888527870101</v>
      </c>
      <c r="AU45">
        <v>3600</v>
      </c>
    </row>
    <row r="46" spans="1:47" x14ac:dyDescent="0.35">
      <c r="A46">
        <f t="shared" si="0"/>
        <v>9.6656828230959295</v>
      </c>
      <c r="B46">
        <f t="shared" si="1"/>
        <v>3.1535945305741673</v>
      </c>
      <c r="C46">
        <f t="shared" si="2"/>
        <v>0.60535311536109837</v>
      </c>
      <c r="D46">
        <f t="shared" si="3"/>
        <v>0</v>
      </c>
      <c r="E46">
        <f t="shared" si="4"/>
        <v>0</v>
      </c>
      <c r="G46" t="s">
        <v>44</v>
      </c>
      <c r="H46">
        <v>9</v>
      </c>
      <c r="I46">
        <v>52</v>
      </c>
      <c r="J46">
        <v>146</v>
      </c>
      <c r="K46">
        <v>3</v>
      </c>
      <c r="L46">
        <v>6</v>
      </c>
      <c r="M46">
        <v>44</v>
      </c>
      <c r="N46" t="s">
        <v>20</v>
      </c>
      <c r="O46" t="b">
        <v>1</v>
      </c>
      <c r="P46">
        <v>0.5</v>
      </c>
      <c r="Q46" t="b">
        <v>0</v>
      </c>
      <c r="R46">
        <v>2775.1956960473899</v>
      </c>
      <c r="S46">
        <v>3043.43730974754</v>
      </c>
      <c r="T46">
        <v>2792.0532272620298</v>
      </c>
      <c r="U46">
        <v>2791.9954296507799</v>
      </c>
      <c r="V46">
        <v>0</v>
      </c>
      <c r="W46">
        <v>111112059</v>
      </c>
      <c r="X46">
        <v>3600.1313519477799</v>
      </c>
      <c r="Y46">
        <v>3600</v>
      </c>
      <c r="AC46" t="s">
        <v>44</v>
      </c>
      <c r="AD46">
        <v>9</v>
      </c>
      <c r="AE46">
        <v>52</v>
      </c>
      <c r="AF46">
        <v>146</v>
      </c>
      <c r="AG46">
        <v>3</v>
      </c>
      <c r="AH46">
        <v>6</v>
      </c>
      <c r="AI46">
        <v>44</v>
      </c>
      <c r="AJ46" t="s">
        <v>20</v>
      </c>
      <c r="AK46" t="b">
        <v>1</v>
      </c>
      <c r="AL46">
        <v>0.5</v>
      </c>
      <c r="AM46" t="b">
        <v>1</v>
      </c>
      <c r="AN46">
        <v>2775.1956960473899</v>
      </c>
      <c r="AO46">
        <v>2862.7141157306701</v>
      </c>
      <c r="AP46">
        <v>2791.9954296507799</v>
      </c>
      <c r="AQ46">
        <v>2791.9954296507799</v>
      </c>
      <c r="AR46">
        <v>0</v>
      </c>
      <c r="AS46">
        <v>10231540</v>
      </c>
      <c r="AT46">
        <v>3600.2785668373099</v>
      </c>
      <c r="AU46">
        <v>3600</v>
      </c>
    </row>
    <row r="47" spans="1:47" x14ac:dyDescent="0.35">
      <c r="A47">
        <f t="shared" si="0"/>
        <v>8.5533666525074636</v>
      </c>
      <c r="B47">
        <f t="shared" si="1"/>
        <v>1.1064153121264142</v>
      </c>
      <c r="C47">
        <f t="shared" si="2"/>
        <v>0.29037374782758441</v>
      </c>
      <c r="D47">
        <f t="shared" si="3"/>
        <v>0</v>
      </c>
      <c r="E47">
        <f t="shared" si="4"/>
        <v>0</v>
      </c>
      <c r="G47" t="s">
        <v>44</v>
      </c>
      <c r="H47">
        <v>9</v>
      </c>
      <c r="I47">
        <v>52</v>
      </c>
      <c r="J47">
        <v>146</v>
      </c>
      <c r="K47">
        <v>3</v>
      </c>
      <c r="L47">
        <v>6</v>
      </c>
      <c r="M47">
        <v>45</v>
      </c>
      <c r="N47" t="s">
        <v>20</v>
      </c>
      <c r="O47" t="b">
        <v>1</v>
      </c>
      <c r="P47">
        <v>0.5</v>
      </c>
      <c r="Q47" t="b">
        <v>0</v>
      </c>
      <c r="R47">
        <v>2788.3997778570802</v>
      </c>
      <c r="S47">
        <v>3026.9018345948998</v>
      </c>
      <c r="T47">
        <v>2796.4965587964698</v>
      </c>
      <c r="U47">
        <v>2796.4965587964598</v>
      </c>
      <c r="V47">
        <v>0</v>
      </c>
      <c r="W47">
        <v>111751048</v>
      </c>
      <c r="X47">
        <v>3600.0786991119298</v>
      </c>
      <c r="Y47">
        <v>3600</v>
      </c>
      <c r="AC47" t="s">
        <v>44</v>
      </c>
      <c r="AD47">
        <v>9</v>
      </c>
      <c r="AE47">
        <v>52</v>
      </c>
      <c r="AF47">
        <v>146</v>
      </c>
      <c r="AG47">
        <v>3</v>
      </c>
      <c r="AH47">
        <v>6</v>
      </c>
      <c r="AI47">
        <v>45</v>
      </c>
      <c r="AJ47" t="s">
        <v>20</v>
      </c>
      <c r="AK47" t="b">
        <v>1</v>
      </c>
      <c r="AL47">
        <v>0.5</v>
      </c>
      <c r="AM47" t="b">
        <v>1</v>
      </c>
      <c r="AN47">
        <v>2788.3997778570802</v>
      </c>
      <c r="AO47">
        <v>2819.2510599625898</v>
      </c>
      <c r="AP47">
        <v>2796.5172876647498</v>
      </c>
      <c r="AQ47">
        <v>2796.4965587964598</v>
      </c>
      <c r="AR47">
        <v>0</v>
      </c>
      <c r="AS47">
        <v>14846613</v>
      </c>
      <c r="AT47">
        <v>3602.5175189971901</v>
      </c>
      <c r="AU47">
        <v>3600</v>
      </c>
    </row>
    <row r="48" spans="1:47" x14ac:dyDescent="0.35">
      <c r="A48">
        <f t="shared" si="0"/>
        <v>8.1325623036566821</v>
      </c>
      <c r="B48">
        <f t="shared" si="1"/>
        <v>0.51754119658801034</v>
      </c>
      <c r="C48">
        <f t="shared" si="2"/>
        <v>0.50747715926846815</v>
      </c>
      <c r="D48">
        <f t="shared" si="3"/>
        <v>0</v>
      </c>
      <c r="E48">
        <f t="shared" si="4"/>
        <v>1</v>
      </c>
      <c r="F48">
        <f t="shared" ref="F48:F49" si="10">(AQ48-AN48)/AN48*100</f>
        <v>0.50747715926846815</v>
      </c>
      <c r="G48" t="s">
        <v>44</v>
      </c>
      <c r="H48">
        <v>9</v>
      </c>
      <c r="I48">
        <v>52</v>
      </c>
      <c r="J48">
        <v>146</v>
      </c>
      <c r="K48">
        <v>3</v>
      </c>
      <c r="L48">
        <v>6</v>
      </c>
      <c r="M48">
        <v>46</v>
      </c>
      <c r="N48" t="s">
        <v>20</v>
      </c>
      <c r="O48" t="b">
        <v>1</v>
      </c>
      <c r="P48">
        <v>0.5</v>
      </c>
      <c r="Q48" t="b">
        <v>0</v>
      </c>
      <c r="R48">
        <v>2797.55346945565</v>
      </c>
      <c r="S48">
        <v>3025.0662483372398</v>
      </c>
      <c r="T48">
        <v>2811.75041433146</v>
      </c>
      <c r="U48">
        <v>2811.75041433146</v>
      </c>
      <c r="V48">
        <v>0</v>
      </c>
      <c r="W48">
        <v>117037892</v>
      </c>
      <c r="X48">
        <v>3600.0831580161998</v>
      </c>
      <c r="Y48">
        <v>3600</v>
      </c>
      <c r="AC48" t="s">
        <v>44</v>
      </c>
      <c r="AD48">
        <v>9</v>
      </c>
      <c r="AE48">
        <v>52</v>
      </c>
      <c r="AF48">
        <v>146</v>
      </c>
      <c r="AG48">
        <v>3</v>
      </c>
      <c r="AH48">
        <v>6</v>
      </c>
      <c r="AI48">
        <v>46</v>
      </c>
      <c r="AJ48" t="s">
        <v>20</v>
      </c>
      <c r="AK48" t="b">
        <v>1</v>
      </c>
      <c r="AL48">
        <v>0.5</v>
      </c>
      <c r="AM48" t="b">
        <v>1</v>
      </c>
      <c r="AN48">
        <v>2797.55346945565</v>
      </c>
      <c r="AO48">
        <v>2812.0319611566601</v>
      </c>
      <c r="AP48">
        <v>2811.7550141400998</v>
      </c>
      <c r="AQ48">
        <v>2811.75041433146</v>
      </c>
      <c r="AR48">
        <v>0</v>
      </c>
      <c r="AS48">
        <v>9741640</v>
      </c>
      <c r="AT48">
        <v>1184.7720649242401</v>
      </c>
      <c r="AU48">
        <v>3600</v>
      </c>
    </row>
    <row r="49" spans="1:47" x14ac:dyDescent="0.35">
      <c r="A49">
        <f t="shared" si="0"/>
        <v>6.9356421421543217</v>
      </c>
      <c r="B49">
        <f t="shared" si="1"/>
        <v>8.7872205227877299E-3</v>
      </c>
      <c r="C49">
        <f t="shared" si="2"/>
        <v>0</v>
      </c>
      <c r="D49">
        <f t="shared" si="3"/>
        <v>0</v>
      </c>
      <c r="E49">
        <f t="shared" si="4"/>
        <v>1</v>
      </c>
      <c r="F49">
        <f t="shared" si="10"/>
        <v>0</v>
      </c>
      <c r="G49" t="s">
        <v>44</v>
      </c>
      <c r="H49">
        <v>9</v>
      </c>
      <c r="I49">
        <v>52</v>
      </c>
      <c r="J49">
        <v>146</v>
      </c>
      <c r="K49">
        <v>3</v>
      </c>
      <c r="L49">
        <v>6</v>
      </c>
      <c r="M49">
        <v>47</v>
      </c>
      <c r="N49" t="s">
        <v>20</v>
      </c>
      <c r="O49" t="b">
        <v>1</v>
      </c>
      <c r="P49">
        <v>0.5</v>
      </c>
      <c r="Q49" t="b">
        <v>0</v>
      </c>
      <c r="R49">
        <v>2808.6573381194198</v>
      </c>
      <c r="S49">
        <v>3003.4557600907401</v>
      </c>
      <c r="T49">
        <v>2808.6581865568601</v>
      </c>
      <c r="U49">
        <v>2808.6573381194198</v>
      </c>
      <c r="V49">
        <v>0</v>
      </c>
      <c r="W49">
        <v>122530470</v>
      </c>
      <c r="X49">
        <v>3600.0458400249399</v>
      </c>
      <c r="Y49">
        <v>3600</v>
      </c>
      <c r="AC49" t="s">
        <v>44</v>
      </c>
      <c r="AD49">
        <v>9</v>
      </c>
      <c r="AE49">
        <v>52</v>
      </c>
      <c r="AF49">
        <v>146</v>
      </c>
      <c r="AG49">
        <v>3</v>
      </c>
      <c r="AH49">
        <v>6</v>
      </c>
      <c r="AI49">
        <v>47</v>
      </c>
      <c r="AJ49" t="s">
        <v>20</v>
      </c>
      <c r="AK49" t="b">
        <v>1</v>
      </c>
      <c r="AL49">
        <v>0.5</v>
      </c>
      <c r="AM49" t="b">
        <v>1</v>
      </c>
      <c r="AN49">
        <v>2808.6573381194198</v>
      </c>
      <c r="AO49">
        <v>2808.9041410334498</v>
      </c>
      <c r="AP49">
        <v>2808.6573381194198</v>
      </c>
      <c r="AQ49">
        <v>2808.6573381194198</v>
      </c>
      <c r="AR49">
        <v>0</v>
      </c>
      <c r="AS49">
        <v>2908887</v>
      </c>
      <c r="AT49">
        <v>466.45567703247002</v>
      </c>
      <c r="AU49">
        <v>3600</v>
      </c>
    </row>
    <row r="50" spans="1:47" x14ac:dyDescent="0.35">
      <c r="A50">
        <f t="shared" si="0"/>
        <v>6.7538236299228203</v>
      </c>
      <c r="B50">
        <f t="shared" si="1"/>
        <v>0.38440593586046667</v>
      </c>
      <c r="C50">
        <f t="shared" si="2"/>
        <v>0.10820744043927157</v>
      </c>
      <c r="D50">
        <f t="shared" si="3"/>
        <v>0</v>
      </c>
      <c r="E50">
        <f t="shared" si="4"/>
        <v>0</v>
      </c>
      <c r="G50" t="s">
        <v>44</v>
      </c>
      <c r="H50">
        <v>9</v>
      </c>
      <c r="I50">
        <v>52</v>
      </c>
      <c r="J50">
        <v>146</v>
      </c>
      <c r="K50">
        <v>3</v>
      </c>
      <c r="L50">
        <v>6</v>
      </c>
      <c r="M50">
        <v>48</v>
      </c>
      <c r="N50" t="s">
        <v>20</v>
      </c>
      <c r="O50" t="b">
        <v>1</v>
      </c>
      <c r="P50">
        <v>0.5</v>
      </c>
      <c r="Q50" t="b">
        <v>0</v>
      </c>
      <c r="R50">
        <v>2922.1990134167199</v>
      </c>
      <c r="S50">
        <v>3119.5591808982299</v>
      </c>
      <c r="T50">
        <v>2925.4041544526499</v>
      </c>
      <c r="U50">
        <v>2925.3610501736798</v>
      </c>
      <c r="V50">
        <v>0</v>
      </c>
      <c r="W50">
        <v>117391540</v>
      </c>
      <c r="X50">
        <v>3600.1559920310901</v>
      </c>
      <c r="Y50">
        <v>3600</v>
      </c>
      <c r="AC50" t="s">
        <v>44</v>
      </c>
      <c r="AD50">
        <v>9</v>
      </c>
      <c r="AE50">
        <v>52</v>
      </c>
      <c r="AF50">
        <v>146</v>
      </c>
      <c r="AG50">
        <v>3</v>
      </c>
      <c r="AH50">
        <v>6</v>
      </c>
      <c r="AI50">
        <v>48</v>
      </c>
      <c r="AJ50" t="s">
        <v>20</v>
      </c>
      <c r="AK50" t="b">
        <v>1</v>
      </c>
      <c r="AL50">
        <v>0.5</v>
      </c>
      <c r="AM50" t="b">
        <v>1</v>
      </c>
      <c r="AN50">
        <v>2922.1990134167199</v>
      </c>
      <c r="AO50">
        <v>2933.4321198819498</v>
      </c>
      <c r="AP50">
        <v>2925.3610501736798</v>
      </c>
      <c r="AQ50">
        <v>2925.3610501736798</v>
      </c>
      <c r="AR50">
        <v>0</v>
      </c>
      <c r="AS50">
        <v>16412211</v>
      </c>
      <c r="AT50">
        <v>3601.4072258472402</v>
      </c>
      <c r="AU50">
        <v>3600</v>
      </c>
    </row>
    <row r="51" spans="1:47" x14ac:dyDescent="0.35">
      <c r="A51">
        <f t="shared" si="0"/>
        <v>7.8438098671463505</v>
      </c>
      <c r="B51">
        <f t="shared" si="1"/>
        <v>1.1115262874956897</v>
      </c>
      <c r="C51">
        <f t="shared" si="2"/>
        <v>5.0372428298110013E-2</v>
      </c>
      <c r="D51">
        <f t="shared" si="3"/>
        <v>0</v>
      </c>
      <c r="E51">
        <f t="shared" si="4"/>
        <v>0</v>
      </c>
      <c r="G51" t="s">
        <v>44</v>
      </c>
      <c r="H51">
        <v>9</v>
      </c>
      <c r="I51">
        <v>52</v>
      </c>
      <c r="J51">
        <v>146</v>
      </c>
      <c r="K51">
        <v>3</v>
      </c>
      <c r="L51">
        <v>6</v>
      </c>
      <c r="M51">
        <v>49</v>
      </c>
      <c r="N51" t="s">
        <v>20</v>
      </c>
      <c r="O51" t="b">
        <v>1</v>
      </c>
      <c r="P51">
        <v>0.5</v>
      </c>
      <c r="Q51" t="b">
        <v>0</v>
      </c>
      <c r="R51">
        <v>2831.9101335713899</v>
      </c>
      <c r="S51">
        <v>3054.03978005718</v>
      </c>
      <c r="T51">
        <v>2833.3580098788302</v>
      </c>
      <c r="U51">
        <v>2833.3366354728901</v>
      </c>
      <c r="V51">
        <v>0</v>
      </c>
      <c r="W51">
        <v>127373133</v>
      </c>
      <c r="X51">
        <v>3600.0421159267398</v>
      </c>
      <c r="Y51">
        <v>3600</v>
      </c>
      <c r="AC51" t="s">
        <v>44</v>
      </c>
      <c r="AD51">
        <v>9</v>
      </c>
      <c r="AE51">
        <v>52</v>
      </c>
      <c r="AF51">
        <v>146</v>
      </c>
      <c r="AG51">
        <v>3</v>
      </c>
      <c r="AH51">
        <v>6</v>
      </c>
      <c r="AI51">
        <v>49</v>
      </c>
      <c r="AJ51" t="s">
        <v>20</v>
      </c>
      <c r="AK51" t="b">
        <v>1</v>
      </c>
      <c r="AL51">
        <v>0.5</v>
      </c>
      <c r="AM51" t="b">
        <v>1</v>
      </c>
      <c r="AN51">
        <v>2831.9101335713899</v>
      </c>
      <c r="AO51">
        <v>2863.3875591442902</v>
      </c>
      <c r="AP51">
        <v>2833.3512922823202</v>
      </c>
      <c r="AQ51">
        <v>2833.3366354728901</v>
      </c>
      <c r="AR51">
        <v>0</v>
      </c>
      <c r="AS51">
        <v>15021641</v>
      </c>
      <c r="AT51">
        <v>3606.0171179771401</v>
      </c>
      <c r="AU51">
        <v>3600</v>
      </c>
    </row>
    <row r="53" spans="1:47" x14ac:dyDescent="0.35">
      <c r="A53" s="1">
        <f t="shared" ref="A53:D53" si="11">AVERAGE(A2:A51)</f>
        <v>8.2516108185726118</v>
      </c>
      <c r="B53" s="1">
        <f t="shared" si="11"/>
        <v>0.81176670128995898</v>
      </c>
      <c r="C53" s="1">
        <f t="shared" si="11"/>
        <v>0.22465804269293405</v>
      </c>
      <c r="D53" s="1">
        <f t="shared" si="11"/>
        <v>0</v>
      </c>
      <c r="E53" s="1">
        <f>AVERAGE(E2:E51)</f>
        <v>0.42</v>
      </c>
      <c r="F53" s="2">
        <f>AVERAGE(F2:F51)</f>
        <v>0.23259048202875096</v>
      </c>
      <c r="G53" t="s">
        <v>25</v>
      </c>
    </row>
    <row r="54" spans="1:47" x14ac:dyDescent="0.35">
      <c r="A54" s="1">
        <f t="shared" ref="A54:D54" si="12">_xlfn.STDEV.S(A2:A51)/SQRT(COUNT(A2:A51))</f>
        <v>0.19612623925050857</v>
      </c>
      <c r="B54" s="1">
        <f t="shared" si="12"/>
        <v>0.10211506535075464</v>
      </c>
      <c r="C54" s="1">
        <f t="shared" si="12"/>
        <v>2.9684543312180883E-2</v>
      </c>
      <c r="D54" s="1">
        <f t="shared" si="12"/>
        <v>0</v>
      </c>
      <c r="E54" s="1">
        <f>_xlfn.STDEV.S(E2:E51)/SQRT(COUNT(E2:E51))</f>
        <v>7.0508358167160376E-2</v>
      </c>
      <c r="F54" s="2">
        <f>_xlfn.STDEV.S(F2:F51)/SQRT(COUNT(F2:F51))</f>
        <v>4.9878147338908857E-2</v>
      </c>
      <c r="G54" t="s">
        <v>26</v>
      </c>
    </row>
    <row r="55" spans="1:47" x14ac:dyDescent="0.35">
      <c r="A55" s="1">
        <f t="shared" ref="A55:D55" si="13">MAX(A2:A51)</f>
        <v>11.977513812031267</v>
      </c>
      <c r="B55" s="1">
        <f t="shared" si="13"/>
        <v>3.1535945305741673</v>
      </c>
      <c r="C55" s="1">
        <f t="shared" si="13"/>
        <v>0.74024473772300181</v>
      </c>
      <c r="D55" s="1">
        <f t="shared" si="13"/>
        <v>0</v>
      </c>
      <c r="E55" s="1">
        <f>MAX(E2:E51)</f>
        <v>1</v>
      </c>
      <c r="F55" s="2">
        <f>MAX(F2:F51)</f>
        <v>0.72918953852822577</v>
      </c>
      <c r="G55" t="s">
        <v>27</v>
      </c>
    </row>
    <row r="56" spans="1:47" x14ac:dyDescent="0.35">
      <c r="A56" s="1">
        <f t="shared" ref="A56:D56" si="14">MIN(A2:A51)</f>
        <v>4.3650489818706308</v>
      </c>
      <c r="B56" s="1">
        <f t="shared" si="14"/>
        <v>8.7243888113390823E-3</v>
      </c>
      <c r="C56" s="1">
        <f t="shared" si="14"/>
        <v>0</v>
      </c>
      <c r="D56" s="1">
        <f t="shared" si="14"/>
        <v>0</v>
      </c>
      <c r="E56" s="1">
        <f>MIN(E2:E51)</f>
        <v>0</v>
      </c>
      <c r="F56" s="2">
        <f>MIN(F2:F51)</f>
        <v>0</v>
      </c>
      <c r="G56" t="s">
        <v>28</v>
      </c>
    </row>
    <row r="57" spans="1:47" x14ac:dyDescent="0.35">
      <c r="A57" s="1">
        <f t="shared" ref="A57:D57" si="15">SUM(A2:A51)</f>
        <v>412.58054092863057</v>
      </c>
      <c r="B57" s="1">
        <f t="shared" si="15"/>
        <v>40.588335064497947</v>
      </c>
      <c r="C57" s="1">
        <f t="shared" si="15"/>
        <v>11.232902134646702</v>
      </c>
      <c r="D57" s="1">
        <f t="shared" si="15"/>
        <v>0</v>
      </c>
      <c r="E57" s="1">
        <f>SUM(E2:E51)</f>
        <v>21</v>
      </c>
      <c r="F57" s="2">
        <f>SUM(F2:F51)</f>
        <v>4.8844001226037701</v>
      </c>
      <c r="G5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B789-DCB1-422F-B079-B696312F4B4F}">
  <dimension ref="A1:AU57"/>
  <sheetViews>
    <sheetView workbookViewId="0">
      <pane ySplit="1" topLeftCell="A50" activePane="bottomLeft" state="frozen"/>
      <selection pane="bottomLeft" activeCell="F53" sqref="F53:F57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9.2358506511628882</v>
      </c>
      <c r="B2">
        <f>(AO2-AN2)/AN2*100</f>
        <v>1.4441550549055429</v>
      </c>
      <c r="C2">
        <f>(AQ2-AN2)/AN2*100</f>
        <v>0.46782606265833954</v>
      </c>
      <c r="D2">
        <f>IF(X2&lt;Y2,1,0)</f>
        <v>0</v>
      </c>
      <c r="E2">
        <f>IF(AT2&lt;AU2,1,0)</f>
        <v>0</v>
      </c>
      <c r="G2" t="s">
        <v>43</v>
      </c>
      <c r="H2">
        <v>5</v>
      </c>
      <c r="I2">
        <v>61</v>
      </c>
      <c r="J2">
        <v>270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3247.2504165002701</v>
      </c>
      <c r="S2">
        <v>3547.1616152375</v>
      </c>
      <c r="T2">
        <v>3262.4419002684399</v>
      </c>
      <c r="U2">
        <v>3262.4419002684399</v>
      </c>
      <c r="V2">
        <v>0</v>
      </c>
      <c r="W2">
        <v>82071746</v>
      </c>
      <c r="X2">
        <v>3600.0775392055498</v>
      </c>
      <c r="Y2">
        <v>3600</v>
      </c>
      <c r="AC2" t="s">
        <v>43</v>
      </c>
      <c r="AD2">
        <v>5</v>
      </c>
      <c r="AE2">
        <v>61</v>
      </c>
      <c r="AF2">
        <v>270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3247.2504165002701</v>
      </c>
      <c r="AO2">
        <v>3294.1457475356001</v>
      </c>
      <c r="AP2">
        <v>3262.4419002684399</v>
      </c>
      <c r="AQ2">
        <v>3262.4419002684399</v>
      </c>
      <c r="AR2">
        <v>0</v>
      </c>
      <c r="AS2">
        <v>10430535</v>
      </c>
      <c r="AT2">
        <v>3602.9622051715801</v>
      </c>
      <c r="AU2">
        <v>3600</v>
      </c>
    </row>
    <row r="3" spans="1:47" x14ac:dyDescent="0.35">
      <c r="A3">
        <f t="shared" ref="A3:A51" si="0">(-R3+S3)/R3*100</f>
        <v>9.0929182149857315</v>
      </c>
      <c r="B3">
        <f t="shared" ref="B3:B51" si="1">(AO3-AN3)/AN3*100</f>
        <v>1.0741445229271624</v>
      </c>
      <c r="C3">
        <f t="shared" ref="C3:C51" si="2">(AQ3-AN3)/AN3*100</f>
        <v>1.0651040574224739</v>
      </c>
      <c r="D3">
        <f t="shared" ref="D3:D51" si="3">IF(X3&lt;Y3,1,0)</f>
        <v>0</v>
      </c>
      <c r="E3">
        <f t="shared" ref="E3:E51" si="4">IF(AT3&lt;AU3,1,0)</f>
        <v>1</v>
      </c>
      <c r="F3">
        <f>(AQ3-AN3)/AN3*100</f>
        <v>1.0651040574224739</v>
      </c>
      <c r="G3" t="s">
        <v>43</v>
      </c>
      <c r="H3">
        <v>5</v>
      </c>
      <c r="I3">
        <v>61</v>
      </c>
      <c r="J3">
        <v>270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3280.0936563095202</v>
      </c>
      <c r="S3">
        <v>3578.34988985268</v>
      </c>
      <c r="T3">
        <v>3315.0417536667401</v>
      </c>
      <c r="U3">
        <v>3315.03006693013</v>
      </c>
      <c r="V3">
        <v>0</v>
      </c>
      <c r="W3">
        <v>94938809</v>
      </c>
      <c r="X3">
        <v>3600.0863380432102</v>
      </c>
      <c r="Y3">
        <v>3600</v>
      </c>
      <c r="AC3" t="s">
        <v>43</v>
      </c>
      <c r="AD3">
        <v>5</v>
      </c>
      <c r="AE3">
        <v>61</v>
      </c>
      <c r="AF3">
        <v>270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3280.0936563095202</v>
      </c>
      <c r="AO3">
        <v>3315.3266026656502</v>
      </c>
      <c r="AP3">
        <v>3315.03007360736</v>
      </c>
      <c r="AQ3">
        <v>3315.03006693013</v>
      </c>
      <c r="AR3">
        <v>0</v>
      </c>
      <c r="AS3">
        <v>13884667</v>
      </c>
      <c r="AT3">
        <v>3229.50318694114</v>
      </c>
      <c r="AU3">
        <v>3600</v>
      </c>
    </row>
    <row r="4" spans="1:47" x14ac:dyDescent="0.35">
      <c r="A4">
        <f t="shared" si="0"/>
        <v>11.38465321689889</v>
      </c>
      <c r="B4">
        <f t="shared" si="1"/>
        <v>3.6719936727347151</v>
      </c>
      <c r="C4">
        <f t="shared" si="2"/>
        <v>0.5955962835235098</v>
      </c>
      <c r="D4">
        <f t="shared" si="3"/>
        <v>0</v>
      </c>
      <c r="E4">
        <f t="shared" si="4"/>
        <v>0</v>
      </c>
      <c r="G4" t="s">
        <v>43</v>
      </c>
      <c r="H4">
        <v>5</v>
      </c>
      <c r="I4">
        <v>61</v>
      </c>
      <c r="J4">
        <v>270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3287.77475896844</v>
      </c>
      <c r="S4">
        <v>3662.0765138297302</v>
      </c>
      <c r="T4">
        <v>3307.38190990661</v>
      </c>
      <c r="U4">
        <v>3307.35662324348</v>
      </c>
      <c r="V4">
        <v>0</v>
      </c>
      <c r="W4">
        <v>77657610</v>
      </c>
      <c r="X4">
        <v>3600.09529995918</v>
      </c>
      <c r="Y4">
        <v>3600</v>
      </c>
      <c r="AC4" t="s">
        <v>43</v>
      </c>
      <c r="AD4">
        <v>5</v>
      </c>
      <c r="AE4">
        <v>61</v>
      </c>
      <c r="AF4">
        <v>270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3287.77475896844</v>
      </c>
      <c r="AO4">
        <v>3408.5016400915301</v>
      </c>
      <c r="AP4">
        <v>3307.35662324348</v>
      </c>
      <c r="AQ4">
        <v>3307.35662324348</v>
      </c>
      <c r="AR4">
        <v>0</v>
      </c>
      <c r="AS4">
        <v>6085702</v>
      </c>
      <c r="AT4">
        <v>3600.8795070648098</v>
      </c>
      <c r="AU4">
        <v>3600</v>
      </c>
    </row>
    <row r="5" spans="1:47" x14ac:dyDescent="0.35">
      <c r="A5">
        <f t="shared" si="0"/>
        <v>10.09846915252637</v>
      </c>
      <c r="B5">
        <f t="shared" si="1"/>
        <v>1.0884903545671847</v>
      </c>
      <c r="C5">
        <f t="shared" si="2"/>
        <v>0.73757061080874153</v>
      </c>
      <c r="D5">
        <f t="shared" si="3"/>
        <v>0</v>
      </c>
      <c r="E5">
        <f t="shared" si="4"/>
        <v>0</v>
      </c>
      <c r="G5" t="s">
        <v>43</v>
      </c>
      <c r="H5">
        <v>5</v>
      </c>
      <c r="I5">
        <v>61</v>
      </c>
      <c r="J5">
        <v>270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3267.8472016478099</v>
      </c>
      <c r="S5">
        <v>3597.8497432579102</v>
      </c>
      <c r="T5">
        <v>3291.94988221331</v>
      </c>
      <c r="U5">
        <v>3291.9498822133</v>
      </c>
      <c r="V5">
        <v>0</v>
      </c>
      <c r="W5">
        <v>91954027</v>
      </c>
      <c r="X5">
        <v>3600.06870007514</v>
      </c>
      <c r="Y5">
        <v>3600</v>
      </c>
      <c r="AC5" t="s">
        <v>43</v>
      </c>
      <c r="AD5">
        <v>5</v>
      </c>
      <c r="AE5">
        <v>61</v>
      </c>
      <c r="AF5">
        <v>270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3267.8472016478099</v>
      </c>
      <c r="AO5">
        <v>3303.41740323974</v>
      </c>
      <c r="AP5">
        <v>3291.9701005049901</v>
      </c>
      <c r="AQ5">
        <v>3291.9498822133</v>
      </c>
      <c r="AR5">
        <v>0</v>
      </c>
      <c r="AS5">
        <v>13700888</v>
      </c>
      <c r="AT5">
        <v>3600.6856229305199</v>
      </c>
      <c r="AU5">
        <v>3600</v>
      </c>
    </row>
    <row r="6" spans="1:47" x14ac:dyDescent="0.35">
      <c r="A6">
        <f t="shared" si="0"/>
        <v>11.632942818059767</v>
      </c>
      <c r="B6">
        <f t="shared" si="1"/>
        <v>5.3241717621368938</v>
      </c>
      <c r="C6">
        <f t="shared" si="2"/>
        <v>0.63389027034414014</v>
      </c>
      <c r="D6">
        <f t="shared" si="3"/>
        <v>0</v>
      </c>
      <c r="E6">
        <f t="shared" si="4"/>
        <v>0</v>
      </c>
      <c r="G6" t="s">
        <v>43</v>
      </c>
      <c r="H6">
        <v>5</v>
      </c>
      <c r="I6">
        <v>61</v>
      </c>
      <c r="J6">
        <v>270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3299.6463629997502</v>
      </c>
      <c r="S6">
        <v>3683.4923376057</v>
      </c>
      <c r="T6">
        <v>3320.5666981281902</v>
      </c>
      <c r="U6">
        <v>3320.5625002505699</v>
      </c>
      <c r="V6">
        <v>0</v>
      </c>
      <c r="W6">
        <v>110238061</v>
      </c>
      <c r="X6">
        <v>3600.1152129173202</v>
      </c>
      <c r="Y6">
        <v>3600</v>
      </c>
      <c r="AC6" t="s">
        <v>43</v>
      </c>
      <c r="AD6">
        <v>5</v>
      </c>
      <c r="AE6">
        <v>61</v>
      </c>
      <c r="AF6">
        <v>270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3299.6463629997502</v>
      </c>
      <c r="AO6">
        <v>3475.3252029089599</v>
      </c>
      <c r="AP6">
        <v>3320.5831482004401</v>
      </c>
      <c r="AQ6">
        <v>3320.5625002505699</v>
      </c>
      <c r="AR6">
        <v>0</v>
      </c>
      <c r="AS6">
        <v>5222691</v>
      </c>
      <c r="AT6">
        <v>3600.8050909042299</v>
      </c>
      <c r="AU6">
        <v>3600</v>
      </c>
    </row>
    <row r="7" spans="1:47" x14ac:dyDescent="0.35">
      <c r="A7">
        <f t="shared" si="0"/>
        <v>9.6910610231991949</v>
      </c>
      <c r="B7">
        <f t="shared" si="1"/>
        <v>0.5600090024605151</v>
      </c>
      <c r="C7">
        <f t="shared" si="2"/>
        <v>0.33183135854827367</v>
      </c>
      <c r="D7">
        <f t="shared" si="3"/>
        <v>0</v>
      </c>
      <c r="E7">
        <f t="shared" si="4"/>
        <v>0</v>
      </c>
      <c r="G7" t="s">
        <v>43</v>
      </c>
      <c r="H7">
        <v>5</v>
      </c>
      <c r="I7">
        <v>61</v>
      </c>
      <c r="J7">
        <v>270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3392.1764738254401</v>
      </c>
      <c r="S7">
        <v>3720.9143659184701</v>
      </c>
      <c r="T7">
        <v>3403.43817517869</v>
      </c>
      <c r="U7">
        <v>3403.43277910289</v>
      </c>
      <c r="V7">
        <v>0</v>
      </c>
      <c r="W7">
        <v>93921678</v>
      </c>
      <c r="X7">
        <v>3600.05759811401</v>
      </c>
      <c r="Y7">
        <v>3600</v>
      </c>
      <c r="AC7" t="s">
        <v>43</v>
      </c>
      <c r="AD7">
        <v>5</v>
      </c>
      <c r="AE7">
        <v>61</v>
      </c>
      <c r="AF7">
        <v>270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3392.1764738254401</v>
      </c>
      <c r="AO7">
        <v>3411.1729674582102</v>
      </c>
      <c r="AP7">
        <v>3403.4383609070001</v>
      </c>
      <c r="AQ7">
        <v>3403.43277910289</v>
      </c>
      <c r="AR7">
        <v>0</v>
      </c>
      <c r="AS7">
        <v>8351216</v>
      </c>
      <c r="AT7">
        <v>3600.3509368896398</v>
      </c>
      <c r="AU7">
        <v>3600</v>
      </c>
    </row>
    <row r="8" spans="1:47" x14ac:dyDescent="0.35">
      <c r="A8">
        <f t="shared" si="0"/>
        <v>8.0957828251905397</v>
      </c>
      <c r="B8">
        <f t="shared" si="1"/>
        <v>0.44495485188883777</v>
      </c>
      <c r="C8">
        <f t="shared" si="2"/>
        <v>0.18143034176895026</v>
      </c>
      <c r="D8">
        <f t="shared" si="3"/>
        <v>0</v>
      </c>
      <c r="E8">
        <f t="shared" si="4"/>
        <v>0</v>
      </c>
      <c r="G8" t="s">
        <v>43</v>
      </c>
      <c r="H8">
        <v>5</v>
      </c>
      <c r="I8">
        <v>61</v>
      </c>
      <c r="J8">
        <v>270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3322.9332674618599</v>
      </c>
      <c r="S8">
        <v>3591.95072822158</v>
      </c>
      <c r="T8">
        <v>3329.0230214814401</v>
      </c>
      <c r="U8">
        <v>3328.9620766457701</v>
      </c>
      <c r="V8">
        <v>0</v>
      </c>
      <c r="W8">
        <v>95896634</v>
      </c>
      <c r="X8">
        <v>3600.05559396743</v>
      </c>
      <c r="Y8">
        <v>3600</v>
      </c>
      <c r="AC8" t="s">
        <v>43</v>
      </c>
      <c r="AD8">
        <v>5</v>
      </c>
      <c r="AE8">
        <v>61</v>
      </c>
      <c r="AF8">
        <v>270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3322.9332674618599</v>
      </c>
      <c r="AO8">
        <v>3337.7188202604598</v>
      </c>
      <c r="AP8">
        <v>3328.9851718162199</v>
      </c>
      <c r="AQ8">
        <v>3328.9620766457701</v>
      </c>
      <c r="AR8">
        <v>0</v>
      </c>
      <c r="AS8">
        <v>10780437</v>
      </c>
      <c r="AT8">
        <v>3600.6074907779598</v>
      </c>
      <c r="AU8">
        <v>3600</v>
      </c>
    </row>
    <row r="9" spans="1:47" x14ac:dyDescent="0.35">
      <c r="A9">
        <f t="shared" si="0"/>
        <v>6.8092807458784401</v>
      </c>
      <c r="B9">
        <f t="shared" si="1"/>
        <v>9.4617028435098009E-3</v>
      </c>
      <c r="C9">
        <f t="shared" si="2"/>
        <v>0</v>
      </c>
      <c r="D9">
        <f t="shared" si="3"/>
        <v>0</v>
      </c>
      <c r="E9">
        <f t="shared" si="4"/>
        <v>1</v>
      </c>
      <c r="F9">
        <f>(AQ9-AN9)/AN9*100</f>
        <v>0</v>
      </c>
      <c r="G9" t="s">
        <v>43</v>
      </c>
      <c r="H9">
        <v>5</v>
      </c>
      <c r="I9">
        <v>61</v>
      </c>
      <c r="J9">
        <v>270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3285.6335118708298</v>
      </c>
      <c r="S9">
        <v>3509.3615219747799</v>
      </c>
      <c r="T9">
        <v>3285.6707840848298</v>
      </c>
      <c r="U9">
        <v>3285.6335118708298</v>
      </c>
      <c r="V9">
        <v>0</v>
      </c>
      <c r="W9">
        <v>79981708</v>
      </c>
      <c r="X9">
        <v>3600.16549706459</v>
      </c>
      <c r="Y9">
        <v>3600</v>
      </c>
      <c r="AC9" t="s">
        <v>43</v>
      </c>
      <c r="AD9">
        <v>5</v>
      </c>
      <c r="AE9">
        <v>61</v>
      </c>
      <c r="AF9">
        <v>270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3285.6335118708298</v>
      </c>
      <c r="AO9">
        <v>3285.9443887502498</v>
      </c>
      <c r="AP9">
        <v>3285.6335118708298</v>
      </c>
      <c r="AQ9">
        <v>3285.6335118708298</v>
      </c>
      <c r="AR9">
        <v>0</v>
      </c>
      <c r="AS9">
        <v>5139912</v>
      </c>
      <c r="AT9">
        <v>1142.5758469104701</v>
      </c>
      <c r="AU9">
        <v>3600</v>
      </c>
    </row>
    <row r="10" spans="1:47" x14ac:dyDescent="0.35">
      <c r="A10">
        <f t="shared" si="0"/>
        <v>9.4566470432987302</v>
      </c>
      <c r="B10">
        <f t="shared" si="1"/>
        <v>4.5355221238524157</v>
      </c>
      <c r="C10">
        <f t="shared" si="2"/>
        <v>0.58023509950178764</v>
      </c>
      <c r="D10">
        <f t="shared" si="3"/>
        <v>0</v>
      </c>
      <c r="E10">
        <f t="shared" si="4"/>
        <v>0</v>
      </c>
      <c r="G10" t="s">
        <v>43</v>
      </c>
      <c r="H10">
        <v>5</v>
      </c>
      <c r="I10">
        <v>61</v>
      </c>
      <c r="J10">
        <v>270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3318.2594608068398</v>
      </c>
      <c r="S10">
        <v>3632.0555459962102</v>
      </c>
      <c r="T10">
        <v>3337.5137707347599</v>
      </c>
      <c r="U10">
        <v>3337.5131668909798</v>
      </c>
      <c r="V10">
        <v>0</v>
      </c>
      <c r="W10">
        <v>85250529</v>
      </c>
      <c r="X10">
        <v>3600.0421330928798</v>
      </c>
      <c r="Y10">
        <v>3600</v>
      </c>
      <c r="AC10" t="s">
        <v>43</v>
      </c>
      <c r="AD10">
        <v>5</v>
      </c>
      <c r="AE10">
        <v>61</v>
      </c>
      <c r="AF10">
        <v>270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3318.2594608068398</v>
      </c>
      <c r="AO10">
        <v>3468.7598527785599</v>
      </c>
      <c r="AP10">
        <v>3337.5131723270802</v>
      </c>
      <c r="AQ10">
        <v>3337.5131668909798</v>
      </c>
      <c r="AR10">
        <v>0</v>
      </c>
      <c r="AS10">
        <v>6596038</v>
      </c>
      <c r="AT10">
        <v>3600.1400470733602</v>
      </c>
      <c r="AU10">
        <v>3600</v>
      </c>
    </row>
    <row r="11" spans="1:47" x14ac:dyDescent="0.35">
      <c r="A11">
        <f t="shared" si="0"/>
        <v>10.317947272316461</v>
      </c>
      <c r="B11">
        <f t="shared" si="1"/>
        <v>2.324625544264145</v>
      </c>
      <c r="C11">
        <f t="shared" si="2"/>
        <v>0</v>
      </c>
      <c r="D11">
        <f t="shared" si="3"/>
        <v>0</v>
      </c>
      <c r="E11">
        <f t="shared" si="4"/>
        <v>0</v>
      </c>
      <c r="G11" t="s">
        <v>43</v>
      </c>
      <c r="H11">
        <v>5</v>
      </c>
      <c r="I11">
        <v>61</v>
      </c>
      <c r="J11">
        <v>270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3221.19722862348</v>
      </c>
      <c r="S11">
        <v>3553.5586602101698</v>
      </c>
      <c r="T11">
        <v>3221.19722862349</v>
      </c>
      <c r="U11">
        <v>3221.19722862348</v>
      </c>
      <c r="V11">
        <v>0</v>
      </c>
      <c r="W11">
        <v>94150815</v>
      </c>
      <c r="X11">
        <v>3600.13171291351</v>
      </c>
      <c r="Y11">
        <v>3600</v>
      </c>
      <c r="AC11" t="s">
        <v>43</v>
      </c>
      <c r="AD11">
        <v>5</v>
      </c>
      <c r="AE11">
        <v>61</v>
      </c>
      <c r="AF11">
        <v>270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3221.19722862348</v>
      </c>
      <c r="AO11">
        <v>3296.0780022311901</v>
      </c>
      <c r="AP11">
        <v>3221.19722862349</v>
      </c>
      <c r="AQ11">
        <v>3221.19722862348</v>
      </c>
      <c r="AR11">
        <v>0</v>
      </c>
      <c r="AS11">
        <v>11594132</v>
      </c>
      <c r="AT11">
        <v>3601.6969170570301</v>
      </c>
      <c r="AU11">
        <v>3600</v>
      </c>
    </row>
    <row r="12" spans="1:47" x14ac:dyDescent="0.35">
      <c r="A12">
        <f t="shared" si="0"/>
        <v>8.3389015565555766</v>
      </c>
      <c r="B12">
        <f t="shared" si="1"/>
        <v>1.2541798310185968</v>
      </c>
      <c r="C12">
        <f t="shared" si="2"/>
        <v>0.23286167354931767</v>
      </c>
      <c r="D12">
        <f t="shared" si="3"/>
        <v>0</v>
      </c>
      <c r="E12">
        <f t="shared" si="4"/>
        <v>0</v>
      </c>
      <c r="G12" t="s">
        <v>43</v>
      </c>
      <c r="H12">
        <v>5</v>
      </c>
      <c r="I12">
        <v>61</v>
      </c>
      <c r="J12">
        <v>270</v>
      </c>
      <c r="K12">
        <v>3</v>
      </c>
      <c r="L12">
        <v>6</v>
      </c>
      <c r="M12">
        <v>10</v>
      </c>
      <c r="N12" t="s">
        <v>20</v>
      </c>
      <c r="O12" t="b">
        <v>1</v>
      </c>
      <c r="P12">
        <v>0.5</v>
      </c>
      <c r="Q12" t="b">
        <v>0</v>
      </c>
      <c r="R12">
        <v>3296.4870782328198</v>
      </c>
      <c r="S12">
        <v>3571.3778905112299</v>
      </c>
      <c r="T12">
        <v>3304.2102163905301</v>
      </c>
      <c r="U12">
        <v>3304.1633332115298</v>
      </c>
      <c r="V12">
        <v>0</v>
      </c>
      <c r="W12">
        <v>88048351</v>
      </c>
      <c r="X12">
        <v>3600.1393868923101</v>
      </c>
      <c r="Y12">
        <v>3600</v>
      </c>
      <c r="AC12" t="s">
        <v>43</v>
      </c>
      <c r="AD12">
        <v>5</v>
      </c>
      <c r="AE12">
        <v>61</v>
      </c>
      <c r="AF12">
        <v>270</v>
      </c>
      <c r="AG12">
        <v>3</v>
      </c>
      <c r="AH12">
        <v>6</v>
      </c>
      <c r="AI12">
        <v>10</v>
      </c>
      <c r="AJ12" t="s">
        <v>20</v>
      </c>
      <c r="AK12" t="b">
        <v>1</v>
      </c>
      <c r="AL12">
        <v>0.5</v>
      </c>
      <c r="AM12" t="b">
        <v>1</v>
      </c>
      <c r="AN12">
        <v>3296.4870782328198</v>
      </c>
      <c r="AO12">
        <v>3337.8309543001501</v>
      </c>
      <c r="AP12">
        <v>3304.1633356059101</v>
      </c>
      <c r="AQ12">
        <v>3304.1633332115298</v>
      </c>
      <c r="AR12">
        <v>0</v>
      </c>
      <c r="AS12">
        <v>10443585</v>
      </c>
      <c r="AT12">
        <v>3603.9133939743001</v>
      </c>
      <c r="AU12">
        <v>3600</v>
      </c>
    </row>
    <row r="13" spans="1:47" x14ac:dyDescent="0.35">
      <c r="A13">
        <f t="shared" si="0"/>
        <v>10.166621395460984</v>
      </c>
      <c r="B13">
        <f t="shared" si="1"/>
        <v>2.4725329224855184</v>
      </c>
      <c r="C13">
        <f t="shared" si="2"/>
        <v>0.24007219118556949</v>
      </c>
      <c r="D13">
        <f t="shared" si="3"/>
        <v>0</v>
      </c>
      <c r="E13">
        <f t="shared" si="4"/>
        <v>0</v>
      </c>
      <c r="G13" t="s">
        <v>43</v>
      </c>
      <c r="H13">
        <v>5</v>
      </c>
      <c r="I13">
        <v>61</v>
      </c>
      <c r="J13">
        <v>270</v>
      </c>
      <c r="K13">
        <v>3</v>
      </c>
      <c r="L13">
        <v>6</v>
      </c>
      <c r="M13">
        <v>11</v>
      </c>
      <c r="N13" t="s">
        <v>20</v>
      </c>
      <c r="O13" t="b">
        <v>1</v>
      </c>
      <c r="P13">
        <v>0.5</v>
      </c>
      <c r="Q13" t="b">
        <v>0</v>
      </c>
      <c r="R13">
        <v>3330.6139786966701</v>
      </c>
      <c r="S13">
        <v>3669.2248920550601</v>
      </c>
      <c r="T13">
        <v>3338.6282054090302</v>
      </c>
      <c r="U13">
        <v>3338.60985665526</v>
      </c>
      <c r="V13">
        <v>0</v>
      </c>
      <c r="W13">
        <v>81332187</v>
      </c>
      <c r="X13">
        <v>3600.05028915405</v>
      </c>
      <c r="Y13">
        <v>3600</v>
      </c>
      <c r="AC13" t="s">
        <v>43</v>
      </c>
      <c r="AD13">
        <v>5</v>
      </c>
      <c r="AE13">
        <v>61</v>
      </c>
      <c r="AF13">
        <v>270</v>
      </c>
      <c r="AG13">
        <v>3</v>
      </c>
      <c r="AH13">
        <v>6</v>
      </c>
      <c r="AI13">
        <v>11</v>
      </c>
      <c r="AJ13" t="s">
        <v>20</v>
      </c>
      <c r="AK13" t="b">
        <v>1</v>
      </c>
      <c r="AL13">
        <v>0.5</v>
      </c>
      <c r="AM13" t="b">
        <v>1</v>
      </c>
      <c r="AN13">
        <v>3330.6139786966701</v>
      </c>
      <c r="AO13">
        <v>3412.9645058408501</v>
      </c>
      <c r="AP13">
        <v>3338.6100871736799</v>
      </c>
      <c r="AQ13">
        <v>3338.60985665526</v>
      </c>
      <c r="AR13">
        <v>0</v>
      </c>
      <c r="AS13">
        <v>6824365</v>
      </c>
      <c r="AT13">
        <v>3601.3166799545202</v>
      </c>
      <c r="AU13">
        <v>3600</v>
      </c>
    </row>
    <row r="14" spans="1:47" x14ac:dyDescent="0.35">
      <c r="A14">
        <f t="shared" si="0"/>
        <v>11.568989805742097</v>
      </c>
      <c r="B14">
        <f t="shared" si="1"/>
        <v>1.6974173885175927</v>
      </c>
      <c r="C14">
        <f t="shared" si="2"/>
        <v>1.3015942879738664</v>
      </c>
      <c r="D14">
        <f t="shared" si="3"/>
        <v>0</v>
      </c>
      <c r="E14">
        <f t="shared" si="4"/>
        <v>0</v>
      </c>
      <c r="G14" t="s">
        <v>43</v>
      </c>
      <c r="H14">
        <v>5</v>
      </c>
      <c r="I14">
        <v>61</v>
      </c>
      <c r="J14">
        <v>270</v>
      </c>
      <c r="K14">
        <v>3</v>
      </c>
      <c r="L14">
        <v>6</v>
      </c>
      <c r="M14">
        <v>12</v>
      </c>
      <c r="N14" t="s">
        <v>20</v>
      </c>
      <c r="O14" t="b">
        <v>1</v>
      </c>
      <c r="P14">
        <v>0.5</v>
      </c>
      <c r="Q14" t="b">
        <v>0</v>
      </c>
      <c r="R14">
        <v>3255.7553424743401</v>
      </c>
      <c r="S14">
        <v>3632.4133461451001</v>
      </c>
      <c r="T14">
        <v>3298.1467931603902</v>
      </c>
      <c r="U14">
        <v>3298.1320680423901</v>
      </c>
      <c r="V14">
        <v>0</v>
      </c>
      <c r="W14">
        <v>78838226</v>
      </c>
      <c r="X14">
        <v>3600.0441620349802</v>
      </c>
      <c r="Y14">
        <v>3600</v>
      </c>
      <c r="AC14" t="s">
        <v>43</v>
      </c>
      <c r="AD14">
        <v>5</v>
      </c>
      <c r="AE14">
        <v>61</v>
      </c>
      <c r="AF14">
        <v>270</v>
      </c>
      <c r="AG14">
        <v>3</v>
      </c>
      <c r="AH14">
        <v>6</v>
      </c>
      <c r="AI14">
        <v>12</v>
      </c>
      <c r="AJ14" t="s">
        <v>20</v>
      </c>
      <c r="AK14" t="b">
        <v>1</v>
      </c>
      <c r="AL14">
        <v>0.5</v>
      </c>
      <c r="AM14" t="b">
        <v>1</v>
      </c>
      <c r="AN14">
        <v>3255.7553424743401</v>
      </c>
      <c r="AO14">
        <v>3311.01909978509</v>
      </c>
      <c r="AP14">
        <v>3298.1328144208301</v>
      </c>
      <c r="AQ14">
        <v>3298.1320680423901</v>
      </c>
      <c r="AR14">
        <v>0</v>
      </c>
      <c r="AS14">
        <v>13138729</v>
      </c>
      <c r="AT14">
        <v>3601.0890069007801</v>
      </c>
      <c r="AU14">
        <v>3600</v>
      </c>
    </row>
    <row r="15" spans="1:47" x14ac:dyDescent="0.35">
      <c r="A15">
        <f t="shared" si="0"/>
        <v>10.672892531508456</v>
      </c>
      <c r="B15">
        <f t="shared" si="1"/>
        <v>0.6821028505870731</v>
      </c>
      <c r="C15">
        <f t="shared" si="2"/>
        <v>0</v>
      </c>
      <c r="D15">
        <f t="shared" si="3"/>
        <v>0</v>
      </c>
      <c r="E15">
        <f t="shared" si="4"/>
        <v>0</v>
      </c>
      <c r="G15" t="s">
        <v>43</v>
      </c>
      <c r="H15">
        <v>5</v>
      </c>
      <c r="I15">
        <v>61</v>
      </c>
      <c r="J15">
        <v>270</v>
      </c>
      <c r="K15">
        <v>3</v>
      </c>
      <c r="L15">
        <v>6</v>
      </c>
      <c r="M15">
        <v>13</v>
      </c>
      <c r="N15" t="s">
        <v>20</v>
      </c>
      <c r="O15" t="b">
        <v>1</v>
      </c>
      <c r="P15">
        <v>0.5</v>
      </c>
      <c r="Q15" t="b">
        <v>0</v>
      </c>
      <c r="R15">
        <v>3347.9906386059802</v>
      </c>
      <c r="S15">
        <v>3705.3180814293601</v>
      </c>
      <c r="T15">
        <v>3348.00355595676</v>
      </c>
      <c r="U15">
        <v>3347.9906386059802</v>
      </c>
      <c r="V15">
        <v>0</v>
      </c>
      <c r="W15">
        <v>108029111</v>
      </c>
      <c r="X15">
        <v>3600.14148402214</v>
      </c>
      <c r="Y15">
        <v>3600</v>
      </c>
      <c r="AC15" t="s">
        <v>43</v>
      </c>
      <c r="AD15">
        <v>5</v>
      </c>
      <c r="AE15">
        <v>61</v>
      </c>
      <c r="AF15">
        <v>270</v>
      </c>
      <c r="AG15">
        <v>3</v>
      </c>
      <c r="AH15">
        <v>6</v>
      </c>
      <c r="AI15">
        <v>13</v>
      </c>
      <c r="AJ15" t="s">
        <v>20</v>
      </c>
      <c r="AK15" t="b">
        <v>1</v>
      </c>
      <c r="AL15">
        <v>0.5</v>
      </c>
      <c r="AM15" t="b">
        <v>1</v>
      </c>
      <c r="AN15">
        <v>3347.9906386059802</v>
      </c>
      <c r="AO15">
        <v>3370.8273781892999</v>
      </c>
      <c r="AP15">
        <v>3347.99063930172</v>
      </c>
      <c r="AQ15">
        <v>3347.9906386059802</v>
      </c>
      <c r="AR15">
        <v>0</v>
      </c>
      <c r="AS15">
        <v>13325811</v>
      </c>
      <c r="AT15">
        <v>3601.4546320438299</v>
      </c>
      <c r="AU15">
        <v>3600</v>
      </c>
    </row>
    <row r="16" spans="1:47" x14ac:dyDescent="0.35">
      <c r="A16">
        <f t="shared" si="0"/>
        <v>8.8755566590691508</v>
      </c>
      <c r="B16">
        <f t="shared" si="1"/>
        <v>0.72235693572795379</v>
      </c>
      <c r="C16">
        <f t="shared" si="2"/>
        <v>0.71301599722393649</v>
      </c>
      <c r="D16">
        <f t="shared" si="3"/>
        <v>0</v>
      </c>
      <c r="E16">
        <f t="shared" si="4"/>
        <v>1</v>
      </c>
      <c r="F16">
        <f>(AQ16-AN16)/AN16*100</f>
        <v>0.71301599722393649</v>
      </c>
      <c r="G16" t="s">
        <v>43</v>
      </c>
      <c r="H16">
        <v>5</v>
      </c>
      <c r="I16">
        <v>61</v>
      </c>
      <c r="J16">
        <v>270</v>
      </c>
      <c r="K16">
        <v>3</v>
      </c>
      <c r="L16">
        <v>6</v>
      </c>
      <c r="M16">
        <v>14</v>
      </c>
      <c r="N16" t="s">
        <v>20</v>
      </c>
      <c r="O16" t="b">
        <v>1</v>
      </c>
      <c r="P16">
        <v>0.5</v>
      </c>
      <c r="Q16" t="b">
        <v>0</v>
      </c>
      <c r="R16">
        <v>3335.9227030146899</v>
      </c>
      <c r="S16">
        <v>3632.0044126235098</v>
      </c>
      <c r="T16">
        <v>3359.71965695261</v>
      </c>
      <c r="U16">
        <v>3359.7083655422098</v>
      </c>
      <c r="V16">
        <v>0</v>
      </c>
      <c r="W16">
        <v>77363730</v>
      </c>
      <c r="X16">
        <v>3600.0440969467099</v>
      </c>
      <c r="Y16">
        <v>3600</v>
      </c>
      <c r="AC16" t="s">
        <v>43</v>
      </c>
      <c r="AD16">
        <v>5</v>
      </c>
      <c r="AE16">
        <v>61</v>
      </c>
      <c r="AF16">
        <v>270</v>
      </c>
      <c r="AG16">
        <v>3</v>
      </c>
      <c r="AH16">
        <v>6</v>
      </c>
      <c r="AI16">
        <v>14</v>
      </c>
      <c r="AJ16" t="s">
        <v>20</v>
      </c>
      <c r="AK16" t="b">
        <v>1</v>
      </c>
      <c r="AL16">
        <v>0.5</v>
      </c>
      <c r="AM16" t="b">
        <v>1</v>
      </c>
      <c r="AN16">
        <v>3335.9227030146899</v>
      </c>
      <c r="AO16">
        <v>3360.0199720304399</v>
      </c>
      <c r="AP16">
        <v>3359.7196564411402</v>
      </c>
      <c r="AQ16">
        <v>3359.7083655422098</v>
      </c>
      <c r="AR16">
        <v>0</v>
      </c>
      <c r="AS16">
        <v>12541304</v>
      </c>
      <c r="AT16">
        <v>2022.69151711463</v>
      </c>
      <c r="AU16">
        <v>3600</v>
      </c>
    </row>
    <row r="17" spans="1:47" x14ac:dyDescent="0.35">
      <c r="A17">
        <f t="shared" si="0"/>
        <v>9.8661001534321144</v>
      </c>
      <c r="B17">
        <f t="shared" si="1"/>
        <v>3.7567213667575281</v>
      </c>
      <c r="C17">
        <f t="shared" si="2"/>
        <v>1.243757100964151</v>
      </c>
      <c r="D17">
        <f t="shared" si="3"/>
        <v>0</v>
      </c>
      <c r="E17">
        <f t="shared" si="4"/>
        <v>0</v>
      </c>
      <c r="G17" t="s">
        <v>43</v>
      </c>
      <c r="H17">
        <v>5</v>
      </c>
      <c r="I17">
        <v>61</v>
      </c>
      <c r="J17">
        <v>270</v>
      </c>
      <c r="K17">
        <v>3</v>
      </c>
      <c r="L17">
        <v>6</v>
      </c>
      <c r="M17">
        <v>15</v>
      </c>
      <c r="N17" t="s">
        <v>20</v>
      </c>
      <c r="O17" t="b">
        <v>1</v>
      </c>
      <c r="P17">
        <v>0.5</v>
      </c>
      <c r="Q17" t="b">
        <v>0</v>
      </c>
      <c r="R17">
        <v>3249.6410296406598</v>
      </c>
      <c r="S17">
        <v>3570.2538682520299</v>
      </c>
      <c r="T17">
        <v>3290.0778241785401</v>
      </c>
      <c r="U17">
        <v>3290.05867070266</v>
      </c>
      <c r="V17">
        <v>0</v>
      </c>
      <c r="W17">
        <v>89541687</v>
      </c>
      <c r="X17">
        <v>3600.0810439586598</v>
      </c>
      <c r="Y17">
        <v>3600</v>
      </c>
      <c r="AC17" t="s">
        <v>43</v>
      </c>
      <c r="AD17">
        <v>5</v>
      </c>
      <c r="AE17">
        <v>61</v>
      </c>
      <c r="AF17">
        <v>270</v>
      </c>
      <c r="AG17">
        <v>3</v>
      </c>
      <c r="AH17">
        <v>6</v>
      </c>
      <c r="AI17">
        <v>15</v>
      </c>
      <c r="AJ17" t="s">
        <v>20</v>
      </c>
      <c r="AK17" t="b">
        <v>1</v>
      </c>
      <c r="AL17">
        <v>0.5</v>
      </c>
      <c r="AM17" t="b">
        <v>1</v>
      </c>
      <c r="AN17">
        <v>3249.6410296406598</v>
      </c>
      <c r="AO17">
        <v>3371.7209885440898</v>
      </c>
      <c r="AP17">
        <v>3290.05887120749</v>
      </c>
      <c r="AQ17">
        <v>3290.05867070266</v>
      </c>
      <c r="AR17">
        <v>0</v>
      </c>
      <c r="AS17">
        <v>7362881</v>
      </c>
      <c r="AT17">
        <v>3602.6665279865201</v>
      </c>
      <c r="AU17">
        <v>3600</v>
      </c>
    </row>
    <row r="18" spans="1:47" x14ac:dyDescent="0.35">
      <c r="A18">
        <f t="shared" si="0"/>
        <v>9.0073040244240783</v>
      </c>
      <c r="B18">
        <f t="shared" si="1"/>
        <v>0.85548261857833618</v>
      </c>
      <c r="C18">
        <f t="shared" si="2"/>
        <v>0</v>
      </c>
      <c r="D18">
        <f t="shared" si="3"/>
        <v>0</v>
      </c>
      <c r="E18">
        <f t="shared" si="4"/>
        <v>0</v>
      </c>
      <c r="G18" t="s">
        <v>43</v>
      </c>
      <c r="H18">
        <v>5</v>
      </c>
      <c r="I18">
        <v>61</v>
      </c>
      <c r="J18">
        <v>270</v>
      </c>
      <c r="K18">
        <v>3</v>
      </c>
      <c r="L18">
        <v>6</v>
      </c>
      <c r="M18">
        <v>16</v>
      </c>
      <c r="N18" t="s">
        <v>20</v>
      </c>
      <c r="O18" t="b">
        <v>1</v>
      </c>
      <c r="P18">
        <v>0.5</v>
      </c>
      <c r="Q18" t="b">
        <v>0</v>
      </c>
      <c r="R18">
        <v>3282.2664540586902</v>
      </c>
      <c r="S18">
        <v>3577.9101724674401</v>
      </c>
      <c r="T18">
        <v>3282.2791274347101</v>
      </c>
      <c r="U18">
        <v>3282.2664540586902</v>
      </c>
      <c r="V18">
        <v>0</v>
      </c>
      <c r="W18">
        <v>76398292</v>
      </c>
      <c r="X18">
        <v>3600.1761670112601</v>
      </c>
      <c r="Y18">
        <v>3600</v>
      </c>
      <c r="AC18" t="s">
        <v>43</v>
      </c>
      <c r="AD18">
        <v>5</v>
      </c>
      <c r="AE18">
        <v>61</v>
      </c>
      <c r="AF18">
        <v>270</v>
      </c>
      <c r="AG18">
        <v>3</v>
      </c>
      <c r="AH18">
        <v>6</v>
      </c>
      <c r="AI18">
        <v>16</v>
      </c>
      <c r="AJ18" t="s">
        <v>20</v>
      </c>
      <c r="AK18" t="b">
        <v>1</v>
      </c>
      <c r="AL18">
        <v>0.5</v>
      </c>
      <c r="AM18" t="b">
        <v>1</v>
      </c>
      <c r="AN18">
        <v>3282.2664540586902</v>
      </c>
      <c r="AO18">
        <v>3310.3456730685898</v>
      </c>
      <c r="AP18">
        <v>3282.2664900873701</v>
      </c>
      <c r="AQ18">
        <v>3282.2664540586902</v>
      </c>
      <c r="AR18">
        <v>0</v>
      </c>
      <c r="AS18">
        <v>12084594</v>
      </c>
      <c r="AT18">
        <v>3601.7327659130001</v>
      </c>
      <c r="AU18">
        <v>3600</v>
      </c>
    </row>
    <row r="19" spans="1:47" x14ac:dyDescent="0.35">
      <c r="A19">
        <f t="shared" si="0"/>
        <v>8.0256469861862616</v>
      </c>
      <c r="B19">
        <f t="shared" si="1"/>
        <v>1.1049566253842475</v>
      </c>
      <c r="C19">
        <f t="shared" si="2"/>
        <v>3.4725190937047339E-2</v>
      </c>
      <c r="D19">
        <f t="shared" si="3"/>
        <v>0</v>
      </c>
      <c r="E19">
        <f t="shared" si="4"/>
        <v>0</v>
      </c>
      <c r="G19" t="s">
        <v>43</v>
      </c>
      <c r="H19">
        <v>5</v>
      </c>
      <c r="I19">
        <v>61</v>
      </c>
      <c r="J19">
        <v>270</v>
      </c>
      <c r="K19">
        <v>3</v>
      </c>
      <c r="L19">
        <v>6</v>
      </c>
      <c r="M19">
        <v>17</v>
      </c>
      <c r="N19" t="s">
        <v>20</v>
      </c>
      <c r="O19" t="b">
        <v>1</v>
      </c>
      <c r="P19">
        <v>0.5</v>
      </c>
      <c r="Q19" t="b">
        <v>0</v>
      </c>
      <c r="R19">
        <v>3307.6125464138299</v>
      </c>
      <c r="S19">
        <v>3573.0698530598102</v>
      </c>
      <c r="T19">
        <v>3308.7611211860299</v>
      </c>
      <c r="U19">
        <v>3308.7611211860299</v>
      </c>
      <c r="V19">
        <v>0</v>
      </c>
      <c r="W19">
        <v>92683135</v>
      </c>
      <c r="X19">
        <v>3600.15295314788</v>
      </c>
      <c r="Y19">
        <v>3600</v>
      </c>
      <c r="AC19" t="s">
        <v>43</v>
      </c>
      <c r="AD19">
        <v>5</v>
      </c>
      <c r="AE19">
        <v>61</v>
      </c>
      <c r="AF19">
        <v>270</v>
      </c>
      <c r="AG19">
        <v>3</v>
      </c>
      <c r="AH19">
        <v>6</v>
      </c>
      <c r="AI19">
        <v>17</v>
      </c>
      <c r="AJ19" t="s">
        <v>20</v>
      </c>
      <c r="AK19" t="b">
        <v>1</v>
      </c>
      <c r="AL19">
        <v>0.5</v>
      </c>
      <c r="AM19" t="b">
        <v>1</v>
      </c>
      <c r="AN19">
        <v>3307.6125464138299</v>
      </c>
      <c r="AO19">
        <v>3344.1602303874702</v>
      </c>
      <c r="AP19">
        <v>3308.7611211860299</v>
      </c>
      <c r="AQ19">
        <v>3308.7611211860299</v>
      </c>
      <c r="AR19">
        <v>0</v>
      </c>
      <c r="AS19">
        <v>9828995</v>
      </c>
      <c r="AT19">
        <v>3601.5690259933399</v>
      </c>
      <c r="AU19">
        <v>3600</v>
      </c>
    </row>
    <row r="20" spans="1:47" x14ac:dyDescent="0.35">
      <c r="A20">
        <f t="shared" si="0"/>
        <v>12.076690679354014</v>
      </c>
      <c r="B20">
        <f t="shared" si="1"/>
        <v>1.7207714905208809</v>
      </c>
      <c r="C20">
        <f t="shared" si="2"/>
        <v>0</v>
      </c>
      <c r="D20">
        <f t="shared" si="3"/>
        <v>0</v>
      </c>
      <c r="E20">
        <f t="shared" si="4"/>
        <v>0</v>
      </c>
      <c r="G20" t="s">
        <v>43</v>
      </c>
      <c r="H20">
        <v>5</v>
      </c>
      <c r="I20">
        <v>61</v>
      </c>
      <c r="J20">
        <v>270</v>
      </c>
      <c r="K20">
        <v>3</v>
      </c>
      <c r="L20">
        <v>6</v>
      </c>
      <c r="M20">
        <v>18</v>
      </c>
      <c r="N20" t="s">
        <v>20</v>
      </c>
      <c r="O20" t="b">
        <v>1</v>
      </c>
      <c r="P20">
        <v>0.5</v>
      </c>
      <c r="Q20" t="b">
        <v>0</v>
      </c>
      <c r="R20">
        <v>3267.8432645910898</v>
      </c>
      <c r="S20">
        <v>3662.4905875418599</v>
      </c>
      <c r="T20">
        <v>3267.8474012223</v>
      </c>
      <c r="U20">
        <v>3267.8432645910898</v>
      </c>
      <c r="V20">
        <v>0</v>
      </c>
      <c r="W20">
        <v>120305803</v>
      </c>
      <c r="X20">
        <v>3600.0931940078699</v>
      </c>
      <c r="Y20">
        <v>3600</v>
      </c>
      <c r="AC20" t="s">
        <v>43</v>
      </c>
      <c r="AD20">
        <v>5</v>
      </c>
      <c r="AE20">
        <v>61</v>
      </c>
      <c r="AF20">
        <v>270</v>
      </c>
      <c r="AG20">
        <v>3</v>
      </c>
      <c r="AH20">
        <v>6</v>
      </c>
      <c r="AI20">
        <v>18</v>
      </c>
      <c r="AJ20" t="s">
        <v>20</v>
      </c>
      <c r="AK20" t="b">
        <v>1</v>
      </c>
      <c r="AL20">
        <v>0.5</v>
      </c>
      <c r="AM20" t="b">
        <v>1</v>
      </c>
      <c r="AN20">
        <v>3267.8432645910898</v>
      </c>
      <c r="AO20">
        <v>3324.0753798430801</v>
      </c>
      <c r="AP20">
        <v>3267.8640988883499</v>
      </c>
      <c r="AQ20">
        <v>3267.8432645910898</v>
      </c>
      <c r="AR20">
        <v>0</v>
      </c>
      <c r="AS20">
        <v>10739282</v>
      </c>
      <c r="AT20">
        <v>3601.26594495773</v>
      </c>
      <c r="AU20">
        <v>3600</v>
      </c>
    </row>
    <row r="21" spans="1:47" x14ac:dyDescent="0.35">
      <c r="A21">
        <f t="shared" si="0"/>
        <v>10.726637722432166</v>
      </c>
      <c r="B21">
        <f t="shared" si="1"/>
        <v>2.4206004733296447</v>
      </c>
      <c r="C21">
        <f t="shared" si="2"/>
        <v>0.75473859776453533</v>
      </c>
      <c r="D21">
        <f t="shared" si="3"/>
        <v>0</v>
      </c>
      <c r="E21">
        <f t="shared" si="4"/>
        <v>0</v>
      </c>
      <c r="G21" t="s">
        <v>43</v>
      </c>
      <c r="H21">
        <v>5</v>
      </c>
      <c r="I21">
        <v>61</v>
      </c>
      <c r="J21">
        <v>270</v>
      </c>
      <c r="K21">
        <v>3</v>
      </c>
      <c r="L21">
        <v>6</v>
      </c>
      <c r="M21">
        <v>19</v>
      </c>
      <c r="N21" t="s">
        <v>20</v>
      </c>
      <c r="O21" t="b">
        <v>1</v>
      </c>
      <c r="P21">
        <v>0.5</v>
      </c>
      <c r="Q21" t="b">
        <v>0</v>
      </c>
      <c r="R21">
        <v>3310.6319464776302</v>
      </c>
      <c r="S21">
        <v>3665.7514416993899</v>
      </c>
      <c r="T21">
        <v>3335.6249863736198</v>
      </c>
      <c r="U21">
        <v>3335.6185636076202</v>
      </c>
      <c r="V21">
        <v>0</v>
      </c>
      <c r="W21">
        <v>86535510</v>
      </c>
      <c r="X21">
        <v>3600.06655192375</v>
      </c>
      <c r="Y21">
        <v>3600</v>
      </c>
      <c r="AC21" t="s">
        <v>43</v>
      </c>
      <c r="AD21">
        <v>5</v>
      </c>
      <c r="AE21">
        <v>61</v>
      </c>
      <c r="AF21">
        <v>270</v>
      </c>
      <c r="AG21">
        <v>3</v>
      </c>
      <c r="AH21">
        <v>6</v>
      </c>
      <c r="AI21">
        <v>19</v>
      </c>
      <c r="AJ21" t="s">
        <v>20</v>
      </c>
      <c r="AK21" t="b">
        <v>1</v>
      </c>
      <c r="AL21">
        <v>0.5</v>
      </c>
      <c r="AM21" t="b">
        <v>1</v>
      </c>
      <c r="AN21">
        <v>3310.6319464776302</v>
      </c>
      <c r="AO21">
        <v>3390.7691190442702</v>
      </c>
      <c r="AP21">
        <v>3335.6185636076302</v>
      </c>
      <c r="AQ21">
        <v>3335.6185636076202</v>
      </c>
      <c r="AR21">
        <v>0</v>
      </c>
      <c r="AS21">
        <v>7244454</v>
      </c>
      <c r="AT21">
        <v>3603.1740679740901</v>
      </c>
      <c r="AU21">
        <v>3600</v>
      </c>
    </row>
    <row r="22" spans="1:47" x14ac:dyDescent="0.35">
      <c r="A22">
        <f t="shared" si="0"/>
        <v>9.5331597882685202</v>
      </c>
      <c r="B22">
        <f t="shared" si="1"/>
        <v>2.0762679563045974</v>
      </c>
      <c r="C22">
        <f t="shared" si="2"/>
        <v>0</v>
      </c>
      <c r="D22">
        <f t="shared" si="3"/>
        <v>0</v>
      </c>
      <c r="E22">
        <f t="shared" si="4"/>
        <v>0</v>
      </c>
      <c r="G22" t="s">
        <v>43</v>
      </c>
      <c r="H22">
        <v>5</v>
      </c>
      <c r="I22">
        <v>61</v>
      </c>
      <c r="J22">
        <v>270</v>
      </c>
      <c r="K22">
        <v>3</v>
      </c>
      <c r="L22">
        <v>6</v>
      </c>
      <c r="M22">
        <v>20</v>
      </c>
      <c r="N22" t="s">
        <v>20</v>
      </c>
      <c r="O22" t="b">
        <v>1</v>
      </c>
      <c r="P22">
        <v>0.5</v>
      </c>
      <c r="Q22" t="b">
        <v>0</v>
      </c>
      <c r="R22">
        <v>3223.8133927849499</v>
      </c>
      <c r="S22">
        <v>3531.1446747947398</v>
      </c>
      <c r="T22">
        <v>3223.8377025213699</v>
      </c>
      <c r="U22">
        <v>3223.8133927849499</v>
      </c>
      <c r="V22">
        <v>0</v>
      </c>
      <c r="W22">
        <v>79585185</v>
      </c>
      <c r="X22">
        <v>3600.0824718475301</v>
      </c>
      <c r="Y22">
        <v>3600</v>
      </c>
      <c r="AC22" t="s">
        <v>43</v>
      </c>
      <c r="AD22">
        <v>5</v>
      </c>
      <c r="AE22">
        <v>61</v>
      </c>
      <c r="AF22">
        <v>270</v>
      </c>
      <c r="AG22">
        <v>3</v>
      </c>
      <c r="AH22">
        <v>6</v>
      </c>
      <c r="AI22">
        <v>20</v>
      </c>
      <c r="AJ22" t="s">
        <v>20</v>
      </c>
      <c r="AK22" t="b">
        <v>1</v>
      </c>
      <c r="AL22">
        <v>0.5</v>
      </c>
      <c r="AM22" t="b">
        <v>1</v>
      </c>
      <c r="AN22">
        <v>3223.8133927849499</v>
      </c>
      <c r="AO22">
        <v>3290.7483972303999</v>
      </c>
      <c r="AP22">
        <v>3223.8134078852499</v>
      </c>
      <c r="AQ22">
        <v>3223.8133927849499</v>
      </c>
      <c r="AR22">
        <v>0</v>
      </c>
      <c r="AS22">
        <v>9130521</v>
      </c>
      <c r="AT22">
        <v>3601.2158000469199</v>
      </c>
      <c r="AU22">
        <v>3600</v>
      </c>
    </row>
    <row r="23" spans="1:47" x14ac:dyDescent="0.35">
      <c r="A23">
        <f t="shared" si="0"/>
        <v>9.1295418203154171</v>
      </c>
      <c r="B23">
        <f t="shared" si="1"/>
        <v>2.8789479444280222</v>
      </c>
      <c r="C23">
        <f t="shared" si="2"/>
        <v>1.2700118624287624</v>
      </c>
      <c r="D23">
        <f t="shared" si="3"/>
        <v>0</v>
      </c>
      <c r="E23">
        <f t="shared" si="4"/>
        <v>0</v>
      </c>
      <c r="G23" t="s">
        <v>43</v>
      </c>
      <c r="H23">
        <v>5</v>
      </c>
      <c r="I23">
        <v>61</v>
      </c>
      <c r="J23">
        <v>270</v>
      </c>
      <c r="K23">
        <v>3</v>
      </c>
      <c r="L23">
        <v>6</v>
      </c>
      <c r="M23">
        <v>21</v>
      </c>
      <c r="N23" t="s">
        <v>20</v>
      </c>
      <c r="O23" t="b">
        <v>1</v>
      </c>
      <c r="P23">
        <v>0.5</v>
      </c>
      <c r="Q23" t="b">
        <v>0</v>
      </c>
      <c r="R23">
        <v>3296.9593310447299</v>
      </c>
      <c r="S23">
        <v>3597.9566119712499</v>
      </c>
      <c r="T23">
        <v>3338.84516637448</v>
      </c>
      <c r="U23">
        <v>3338.8311056484499</v>
      </c>
      <c r="V23">
        <v>0</v>
      </c>
      <c r="W23">
        <v>81040367</v>
      </c>
      <c r="X23">
        <v>3600.0709629058802</v>
      </c>
      <c r="Y23">
        <v>3600</v>
      </c>
      <c r="AC23" t="s">
        <v>43</v>
      </c>
      <c r="AD23">
        <v>5</v>
      </c>
      <c r="AE23">
        <v>61</v>
      </c>
      <c r="AF23">
        <v>270</v>
      </c>
      <c r="AG23">
        <v>3</v>
      </c>
      <c r="AH23">
        <v>6</v>
      </c>
      <c r="AI23">
        <v>21</v>
      </c>
      <c r="AJ23" t="s">
        <v>20</v>
      </c>
      <c r="AK23" t="b">
        <v>1</v>
      </c>
      <c r="AL23">
        <v>0.5</v>
      </c>
      <c r="AM23" t="b">
        <v>1</v>
      </c>
      <c r="AN23">
        <v>3296.9593310447299</v>
      </c>
      <c r="AO23">
        <v>3391.87707393447</v>
      </c>
      <c r="AP23">
        <v>3338.8450798224399</v>
      </c>
      <c r="AQ23">
        <v>3338.8311056484499</v>
      </c>
      <c r="AR23">
        <v>0</v>
      </c>
      <c r="AS23">
        <v>6310206</v>
      </c>
      <c r="AT23">
        <v>3600.98821115493</v>
      </c>
      <c r="AU23">
        <v>3600</v>
      </c>
    </row>
    <row r="24" spans="1:47" x14ac:dyDescent="0.35">
      <c r="A24">
        <f t="shared" si="0"/>
        <v>7.724309730106393</v>
      </c>
      <c r="B24">
        <f t="shared" si="1"/>
        <v>1.195546206505397</v>
      </c>
      <c r="C24">
        <f t="shared" si="2"/>
        <v>0.38415261499181647</v>
      </c>
      <c r="D24">
        <f t="shared" si="3"/>
        <v>0</v>
      </c>
      <c r="E24">
        <f t="shared" si="4"/>
        <v>0</v>
      </c>
      <c r="G24" t="s">
        <v>43</v>
      </c>
      <c r="H24">
        <v>5</v>
      </c>
      <c r="I24">
        <v>61</v>
      </c>
      <c r="J24">
        <v>270</v>
      </c>
      <c r="K24">
        <v>3</v>
      </c>
      <c r="L24">
        <v>6</v>
      </c>
      <c r="M24">
        <v>22</v>
      </c>
      <c r="N24" t="s">
        <v>20</v>
      </c>
      <c r="O24" t="b">
        <v>1</v>
      </c>
      <c r="P24">
        <v>0.5</v>
      </c>
      <c r="Q24" t="b">
        <v>0</v>
      </c>
      <c r="R24">
        <v>3357.5406999050701</v>
      </c>
      <c r="S24">
        <v>3616.8875428801198</v>
      </c>
      <c r="T24">
        <v>3370.52816936729</v>
      </c>
      <c r="U24">
        <v>3370.43878030317</v>
      </c>
      <c r="V24">
        <v>0</v>
      </c>
      <c r="W24">
        <v>83665009</v>
      </c>
      <c r="X24">
        <v>3600.1157948970699</v>
      </c>
      <c r="Y24">
        <v>3600</v>
      </c>
      <c r="AC24" t="s">
        <v>43</v>
      </c>
      <c r="AD24">
        <v>5</v>
      </c>
      <c r="AE24">
        <v>61</v>
      </c>
      <c r="AF24">
        <v>270</v>
      </c>
      <c r="AG24">
        <v>3</v>
      </c>
      <c r="AH24">
        <v>6</v>
      </c>
      <c r="AI24">
        <v>22</v>
      </c>
      <c r="AJ24" t="s">
        <v>20</v>
      </c>
      <c r="AK24" t="b">
        <v>1</v>
      </c>
      <c r="AL24">
        <v>0.5</v>
      </c>
      <c r="AM24" t="b">
        <v>1</v>
      </c>
      <c r="AN24">
        <v>3357.5406999050701</v>
      </c>
      <c r="AO24">
        <v>3397.68165037466</v>
      </c>
      <c r="AP24">
        <v>3370.4531695047599</v>
      </c>
      <c r="AQ24">
        <v>3370.43878030317</v>
      </c>
      <c r="AR24">
        <v>0</v>
      </c>
      <c r="AS24">
        <v>8950921</v>
      </c>
      <c r="AT24">
        <v>3601.1678450107502</v>
      </c>
      <c r="AU24">
        <v>3600</v>
      </c>
    </row>
    <row r="25" spans="1:47" x14ac:dyDescent="0.35">
      <c r="A25">
        <f t="shared" si="0"/>
        <v>10.096110925635724</v>
      </c>
      <c r="B25">
        <f t="shared" si="1"/>
        <v>1.0835933478431954</v>
      </c>
      <c r="C25">
        <f t="shared" si="2"/>
        <v>0</v>
      </c>
      <c r="D25">
        <f t="shared" si="3"/>
        <v>0</v>
      </c>
      <c r="E25">
        <f t="shared" si="4"/>
        <v>0</v>
      </c>
      <c r="G25" t="s">
        <v>43</v>
      </c>
      <c r="H25">
        <v>5</v>
      </c>
      <c r="I25">
        <v>61</v>
      </c>
      <c r="J25">
        <v>270</v>
      </c>
      <c r="K25">
        <v>3</v>
      </c>
      <c r="L25">
        <v>6</v>
      </c>
      <c r="M25">
        <v>23</v>
      </c>
      <c r="N25" t="s">
        <v>20</v>
      </c>
      <c r="O25" t="b">
        <v>1</v>
      </c>
      <c r="P25">
        <v>0.5</v>
      </c>
      <c r="Q25" t="b">
        <v>0</v>
      </c>
      <c r="R25">
        <v>3357.0989713951499</v>
      </c>
      <c r="S25">
        <v>3696.0354074305801</v>
      </c>
      <c r="T25">
        <v>3357.1076532790598</v>
      </c>
      <c r="U25">
        <v>3357.0989713951499</v>
      </c>
      <c r="V25">
        <v>0</v>
      </c>
      <c r="W25">
        <v>75248611</v>
      </c>
      <c r="X25">
        <v>3600.1287391185701</v>
      </c>
      <c r="Y25">
        <v>3600</v>
      </c>
      <c r="AC25" t="s">
        <v>43</v>
      </c>
      <c r="AD25">
        <v>5</v>
      </c>
      <c r="AE25">
        <v>61</v>
      </c>
      <c r="AF25">
        <v>270</v>
      </c>
      <c r="AG25">
        <v>3</v>
      </c>
      <c r="AH25">
        <v>6</v>
      </c>
      <c r="AI25">
        <v>23</v>
      </c>
      <c r="AJ25" t="s">
        <v>20</v>
      </c>
      <c r="AK25" t="b">
        <v>1</v>
      </c>
      <c r="AL25">
        <v>0.5</v>
      </c>
      <c r="AM25" t="b">
        <v>1</v>
      </c>
      <c r="AN25">
        <v>3357.0989713951499</v>
      </c>
      <c r="AO25">
        <v>3393.4762725297001</v>
      </c>
      <c r="AP25">
        <v>3357.1297582419902</v>
      </c>
      <c r="AQ25">
        <v>3357.0989713951499</v>
      </c>
      <c r="AR25">
        <v>0</v>
      </c>
      <c r="AS25">
        <v>10719032</v>
      </c>
      <c r="AT25">
        <v>3601.14196300506</v>
      </c>
      <c r="AU25">
        <v>3600</v>
      </c>
    </row>
    <row r="26" spans="1:47" x14ac:dyDescent="0.35">
      <c r="A26">
        <f t="shared" si="0"/>
        <v>11.090361413512225</v>
      </c>
      <c r="B26">
        <f t="shared" si="1"/>
        <v>2.3308919864324209</v>
      </c>
      <c r="C26">
        <f t="shared" si="2"/>
        <v>0.16407518675909666</v>
      </c>
      <c r="D26">
        <f t="shared" si="3"/>
        <v>0</v>
      </c>
      <c r="E26">
        <f t="shared" si="4"/>
        <v>0</v>
      </c>
      <c r="G26" t="s">
        <v>43</v>
      </c>
      <c r="H26">
        <v>5</v>
      </c>
      <c r="I26">
        <v>61</v>
      </c>
      <c r="J26">
        <v>270</v>
      </c>
      <c r="K26">
        <v>3</v>
      </c>
      <c r="L26">
        <v>6</v>
      </c>
      <c r="M26">
        <v>24</v>
      </c>
      <c r="N26" t="s">
        <v>20</v>
      </c>
      <c r="O26" t="b">
        <v>1</v>
      </c>
      <c r="P26">
        <v>0.5</v>
      </c>
      <c r="Q26" t="b">
        <v>0</v>
      </c>
      <c r="R26">
        <v>3224.0173831688098</v>
      </c>
      <c r="S26">
        <v>3581.5725629966901</v>
      </c>
      <c r="T26">
        <v>3229.3071957114098</v>
      </c>
      <c r="U26">
        <v>3229.3071957113898</v>
      </c>
      <c r="V26">
        <v>0</v>
      </c>
      <c r="W26">
        <v>81494274</v>
      </c>
      <c r="X26">
        <v>3600.04464006423</v>
      </c>
      <c r="Y26">
        <v>3600</v>
      </c>
      <c r="AC26" t="s">
        <v>43</v>
      </c>
      <c r="AD26">
        <v>5</v>
      </c>
      <c r="AE26">
        <v>61</v>
      </c>
      <c r="AF26">
        <v>270</v>
      </c>
      <c r="AG26">
        <v>3</v>
      </c>
      <c r="AH26">
        <v>6</v>
      </c>
      <c r="AI26">
        <v>24</v>
      </c>
      <c r="AJ26" t="s">
        <v>20</v>
      </c>
      <c r="AK26" t="b">
        <v>1</v>
      </c>
      <c r="AL26">
        <v>0.5</v>
      </c>
      <c r="AM26" t="b">
        <v>1</v>
      </c>
      <c r="AN26">
        <v>3224.0173831688098</v>
      </c>
      <c r="AO26">
        <v>3299.1657459942799</v>
      </c>
      <c r="AP26">
        <v>3229.3471957113902</v>
      </c>
      <c r="AQ26">
        <v>3229.3071957113898</v>
      </c>
      <c r="AR26">
        <v>0</v>
      </c>
      <c r="AS26">
        <v>10583895</v>
      </c>
      <c r="AT26">
        <v>3600.8486268520301</v>
      </c>
      <c r="AU26">
        <v>3600</v>
      </c>
    </row>
    <row r="27" spans="1:47" x14ac:dyDescent="0.35">
      <c r="A27">
        <f t="shared" si="0"/>
        <v>10.716252051226101</v>
      </c>
      <c r="B27">
        <f t="shared" si="1"/>
        <v>0.92110073946782189</v>
      </c>
      <c r="C27">
        <f t="shared" si="2"/>
        <v>0.15507089662635426</v>
      </c>
      <c r="D27">
        <f t="shared" si="3"/>
        <v>0</v>
      </c>
      <c r="E27">
        <f t="shared" si="4"/>
        <v>0</v>
      </c>
      <c r="G27" t="s">
        <v>43</v>
      </c>
      <c r="H27">
        <v>5</v>
      </c>
      <c r="I27">
        <v>61</v>
      </c>
      <c r="J27">
        <v>270</v>
      </c>
      <c r="K27">
        <v>3</v>
      </c>
      <c r="L27">
        <v>6</v>
      </c>
      <c r="M27">
        <v>25</v>
      </c>
      <c r="N27" t="s">
        <v>20</v>
      </c>
      <c r="O27" t="b">
        <v>1</v>
      </c>
      <c r="P27">
        <v>0.5</v>
      </c>
      <c r="Q27" t="b">
        <v>0</v>
      </c>
      <c r="R27">
        <v>3347.3285998384899</v>
      </c>
      <c r="S27">
        <v>3706.03676957996</v>
      </c>
      <c r="T27">
        <v>3352.58433965719</v>
      </c>
      <c r="U27">
        <v>3352.5193323112899</v>
      </c>
      <c r="V27">
        <v>0</v>
      </c>
      <c r="W27">
        <v>91604507</v>
      </c>
      <c r="X27">
        <v>3600.05552792549</v>
      </c>
      <c r="Y27">
        <v>3600</v>
      </c>
      <c r="AC27" t="s">
        <v>43</v>
      </c>
      <c r="AD27">
        <v>5</v>
      </c>
      <c r="AE27">
        <v>61</v>
      </c>
      <c r="AF27">
        <v>270</v>
      </c>
      <c r="AG27">
        <v>3</v>
      </c>
      <c r="AH27">
        <v>6</v>
      </c>
      <c r="AI27">
        <v>25</v>
      </c>
      <c r="AJ27" t="s">
        <v>20</v>
      </c>
      <c r="AK27" t="b">
        <v>1</v>
      </c>
      <c r="AL27">
        <v>0.5</v>
      </c>
      <c r="AM27" t="b">
        <v>1</v>
      </c>
      <c r="AN27">
        <v>3347.3285998384899</v>
      </c>
      <c r="AO27">
        <v>3378.1608683240202</v>
      </c>
      <c r="AP27">
        <v>3352.5936976973198</v>
      </c>
      <c r="AQ27">
        <v>3352.5193323112899</v>
      </c>
      <c r="AR27">
        <v>0</v>
      </c>
      <c r="AS27">
        <v>12130987</v>
      </c>
      <c r="AT27">
        <v>3600.96760702133</v>
      </c>
      <c r="AU27">
        <v>3600</v>
      </c>
    </row>
    <row r="28" spans="1:47" x14ac:dyDescent="0.35">
      <c r="A28">
        <f t="shared" si="0"/>
        <v>6.7866303096727529</v>
      </c>
      <c r="B28">
        <f t="shared" si="1"/>
        <v>9.2400015797484136E-3</v>
      </c>
      <c r="C28">
        <f t="shared" si="2"/>
        <v>0</v>
      </c>
      <c r="D28">
        <f t="shared" si="3"/>
        <v>0</v>
      </c>
      <c r="E28">
        <f t="shared" si="4"/>
        <v>1</v>
      </c>
      <c r="F28">
        <f>(AQ28-AN28)/AN28*100</f>
        <v>0</v>
      </c>
      <c r="G28" t="s">
        <v>43</v>
      </c>
      <c r="H28">
        <v>5</v>
      </c>
      <c r="I28">
        <v>61</v>
      </c>
      <c r="J28">
        <v>270</v>
      </c>
      <c r="K28">
        <v>3</v>
      </c>
      <c r="L28">
        <v>6</v>
      </c>
      <c r="M28">
        <v>26</v>
      </c>
      <c r="N28" t="s">
        <v>20</v>
      </c>
      <c r="O28" t="b">
        <v>1</v>
      </c>
      <c r="P28">
        <v>0.5</v>
      </c>
      <c r="Q28" t="b">
        <v>0</v>
      </c>
      <c r="R28">
        <v>3396.6233604074901</v>
      </c>
      <c r="S28">
        <v>3627.13963089033</v>
      </c>
      <c r="T28">
        <v>3396.6436502732799</v>
      </c>
      <c r="U28">
        <v>3396.6233604074901</v>
      </c>
      <c r="V28">
        <v>0</v>
      </c>
      <c r="W28">
        <v>82792144</v>
      </c>
      <c r="X28">
        <v>3600.1548149585701</v>
      </c>
      <c r="Y28">
        <v>3600</v>
      </c>
      <c r="AC28" t="s">
        <v>43</v>
      </c>
      <c r="AD28">
        <v>5</v>
      </c>
      <c r="AE28">
        <v>61</v>
      </c>
      <c r="AF28">
        <v>270</v>
      </c>
      <c r="AG28">
        <v>3</v>
      </c>
      <c r="AH28">
        <v>6</v>
      </c>
      <c r="AI28">
        <v>26</v>
      </c>
      <c r="AJ28" t="s">
        <v>20</v>
      </c>
      <c r="AK28" t="b">
        <v>1</v>
      </c>
      <c r="AL28">
        <v>0.5</v>
      </c>
      <c r="AM28" t="b">
        <v>1</v>
      </c>
      <c r="AN28">
        <v>3396.6233604074901</v>
      </c>
      <c r="AO28">
        <v>3396.9372084596498</v>
      </c>
      <c r="AP28">
        <v>3396.6436607568698</v>
      </c>
      <c r="AQ28">
        <v>3396.6233604074901</v>
      </c>
      <c r="AR28">
        <v>0</v>
      </c>
      <c r="AS28">
        <v>9809479</v>
      </c>
      <c r="AT28">
        <v>3156.1800560951201</v>
      </c>
      <c r="AU28">
        <v>3600</v>
      </c>
    </row>
    <row r="29" spans="1:47" x14ac:dyDescent="0.35">
      <c r="A29">
        <f t="shared" si="0"/>
        <v>9.4641698478643548</v>
      </c>
      <c r="B29">
        <f t="shared" si="1"/>
        <v>1.7102370581172421</v>
      </c>
      <c r="C29">
        <f t="shared" si="2"/>
        <v>0.45688552090781481</v>
      </c>
      <c r="D29">
        <f t="shared" si="3"/>
        <v>0</v>
      </c>
      <c r="E29">
        <f t="shared" si="4"/>
        <v>0</v>
      </c>
      <c r="G29" t="s">
        <v>43</v>
      </c>
      <c r="H29">
        <v>5</v>
      </c>
      <c r="I29">
        <v>61</v>
      </c>
      <c r="J29">
        <v>270</v>
      </c>
      <c r="K29">
        <v>3</v>
      </c>
      <c r="L29">
        <v>6</v>
      </c>
      <c r="M29">
        <v>27</v>
      </c>
      <c r="N29" t="s">
        <v>20</v>
      </c>
      <c r="O29" t="b">
        <v>1</v>
      </c>
      <c r="P29">
        <v>0.5</v>
      </c>
      <c r="Q29" t="b">
        <v>0</v>
      </c>
      <c r="R29">
        <v>3246.1458021805902</v>
      </c>
      <c r="S29">
        <v>3553.3665544082801</v>
      </c>
      <c r="T29">
        <v>3260.9769723383301</v>
      </c>
      <c r="U29">
        <v>3260.9769723383101</v>
      </c>
      <c r="V29">
        <v>0</v>
      </c>
      <c r="W29">
        <v>81818082</v>
      </c>
      <c r="X29">
        <v>3600.2072069644901</v>
      </c>
      <c r="Y29">
        <v>3600</v>
      </c>
      <c r="AC29" t="s">
        <v>43</v>
      </c>
      <c r="AD29">
        <v>5</v>
      </c>
      <c r="AE29">
        <v>61</v>
      </c>
      <c r="AF29">
        <v>270</v>
      </c>
      <c r="AG29">
        <v>3</v>
      </c>
      <c r="AH29">
        <v>6</v>
      </c>
      <c r="AI29">
        <v>27</v>
      </c>
      <c r="AJ29" t="s">
        <v>20</v>
      </c>
      <c r="AK29" t="b">
        <v>1</v>
      </c>
      <c r="AL29">
        <v>0.5</v>
      </c>
      <c r="AM29" t="b">
        <v>1</v>
      </c>
      <c r="AN29">
        <v>3246.1458021805902</v>
      </c>
      <c r="AO29">
        <v>3301.6625906499999</v>
      </c>
      <c r="AP29">
        <v>3260.9770524362398</v>
      </c>
      <c r="AQ29">
        <v>3260.9769723383101</v>
      </c>
      <c r="AR29">
        <v>0</v>
      </c>
      <c r="AS29">
        <v>8340185</v>
      </c>
      <c r="AT29">
        <v>3600.1198680400798</v>
      </c>
      <c r="AU29">
        <v>3600</v>
      </c>
    </row>
    <row r="30" spans="1:47" x14ac:dyDescent="0.35">
      <c r="A30">
        <f t="shared" si="0"/>
        <v>9.2263531936720611</v>
      </c>
      <c r="B30">
        <f t="shared" si="1"/>
        <v>1.0664494963079096</v>
      </c>
      <c r="C30">
        <f t="shared" si="2"/>
        <v>0</v>
      </c>
      <c r="D30">
        <f t="shared" si="3"/>
        <v>0</v>
      </c>
      <c r="E30">
        <f t="shared" si="4"/>
        <v>0</v>
      </c>
      <c r="G30" t="s">
        <v>43</v>
      </c>
      <c r="H30">
        <v>5</v>
      </c>
      <c r="I30">
        <v>61</v>
      </c>
      <c r="J30">
        <v>270</v>
      </c>
      <c r="K30">
        <v>3</v>
      </c>
      <c r="L30">
        <v>6</v>
      </c>
      <c r="M30">
        <v>28</v>
      </c>
      <c r="N30" t="s">
        <v>20</v>
      </c>
      <c r="O30" t="b">
        <v>1</v>
      </c>
      <c r="P30">
        <v>0.5</v>
      </c>
      <c r="Q30" t="b">
        <v>0</v>
      </c>
      <c r="R30">
        <v>3326.1814187915402</v>
      </c>
      <c r="S30">
        <v>3633.0666643515401</v>
      </c>
      <c r="T30">
        <v>3326.21947407784</v>
      </c>
      <c r="U30">
        <v>3326.1814187915402</v>
      </c>
      <c r="V30">
        <v>0</v>
      </c>
      <c r="W30">
        <v>81817995</v>
      </c>
      <c r="X30">
        <v>3600.0444560050901</v>
      </c>
      <c r="Y30">
        <v>3600</v>
      </c>
      <c r="AC30" t="s">
        <v>43</v>
      </c>
      <c r="AD30">
        <v>5</v>
      </c>
      <c r="AE30">
        <v>61</v>
      </c>
      <c r="AF30">
        <v>270</v>
      </c>
      <c r="AG30">
        <v>3</v>
      </c>
      <c r="AH30">
        <v>6</v>
      </c>
      <c r="AI30">
        <v>28</v>
      </c>
      <c r="AJ30" t="s">
        <v>20</v>
      </c>
      <c r="AK30" t="b">
        <v>1</v>
      </c>
      <c r="AL30">
        <v>0.5</v>
      </c>
      <c r="AM30" t="b">
        <v>1</v>
      </c>
      <c r="AN30">
        <v>3326.1814187915402</v>
      </c>
      <c r="AO30">
        <v>3361.6534637785298</v>
      </c>
      <c r="AP30">
        <v>3326.2200380939498</v>
      </c>
      <c r="AQ30">
        <v>3326.1814187915402</v>
      </c>
      <c r="AR30">
        <v>0</v>
      </c>
      <c r="AS30">
        <v>11628890</v>
      </c>
      <c r="AT30">
        <v>3602.0804250240299</v>
      </c>
      <c r="AU30">
        <v>3600</v>
      </c>
    </row>
    <row r="31" spans="1:47" x14ac:dyDescent="0.35">
      <c r="A31">
        <f t="shared" si="0"/>
        <v>8.4684671626697359</v>
      </c>
      <c r="B31">
        <f t="shared" si="1"/>
        <v>0.86487176441694813</v>
      </c>
      <c r="C31">
        <f t="shared" si="2"/>
        <v>9.0268314832229704E-2</v>
      </c>
      <c r="D31">
        <f t="shared" si="3"/>
        <v>0</v>
      </c>
      <c r="E31">
        <f t="shared" si="4"/>
        <v>0</v>
      </c>
      <c r="G31" t="s">
        <v>43</v>
      </c>
      <c r="H31">
        <v>5</v>
      </c>
      <c r="I31">
        <v>61</v>
      </c>
      <c r="J31">
        <v>270</v>
      </c>
      <c r="K31">
        <v>3</v>
      </c>
      <c r="L31">
        <v>6</v>
      </c>
      <c r="M31">
        <v>29</v>
      </c>
      <c r="N31" t="s">
        <v>20</v>
      </c>
      <c r="O31" t="b">
        <v>1</v>
      </c>
      <c r="P31">
        <v>0.5</v>
      </c>
      <c r="Q31" t="b">
        <v>0</v>
      </c>
      <c r="R31">
        <v>3239.99688754099</v>
      </c>
      <c r="S31">
        <v>3514.3749600339202</v>
      </c>
      <c r="T31">
        <v>3242.9215785285201</v>
      </c>
      <c r="U31">
        <v>3242.9215781319899</v>
      </c>
      <c r="V31">
        <v>0</v>
      </c>
      <c r="W31">
        <v>80023245</v>
      </c>
      <c r="X31">
        <v>3600.09168314933</v>
      </c>
      <c r="Y31">
        <v>3600</v>
      </c>
      <c r="AC31" t="s">
        <v>43</v>
      </c>
      <c r="AD31">
        <v>5</v>
      </c>
      <c r="AE31">
        <v>61</v>
      </c>
      <c r="AF31">
        <v>270</v>
      </c>
      <c r="AG31">
        <v>3</v>
      </c>
      <c r="AH31">
        <v>6</v>
      </c>
      <c r="AI31">
        <v>29</v>
      </c>
      <c r="AJ31" t="s">
        <v>20</v>
      </c>
      <c r="AK31" t="b">
        <v>1</v>
      </c>
      <c r="AL31">
        <v>0.5</v>
      </c>
      <c r="AM31" t="b">
        <v>1</v>
      </c>
      <c r="AN31">
        <v>3239.99688754099</v>
      </c>
      <c r="AO31">
        <v>3268.0187057893199</v>
      </c>
      <c r="AP31">
        <v>3242.9215781319899</v>
      </c>
      <c r="AQ31">
        <v>3242.9215781319899</v>
      </c>
      <c r="AR31">
        <v>0</v>
      </c>
      <c r="AS31">
        <v>13316102</v>
      </c>
      <c r="AT31">
        <v>3601.2063908576902</v>
      </c>
      <c r="AU31">
        <v>3600</v>
      </c>
    </row>
    <row r="32" spans="1:47" x14ac:dyDescent="0.35">
      <c r="A32">
        <f t="shared" si="0"/>
        <v>8.0122710334383971</v>
      </c>
      <c r="B32">
        <f t="shared" si="1"/>
        <v>0.9595220655965051</v>
      </c>
      <c r="C32">
        <f t="shared" si="2"/>
        <v>0.52927946637715495</v>
      </c>
      <c r="D32">
        <f t="shared" si="3"/>
        <v>0</v>
      </c>
      <c r="E32">
        <f t="shared" si="4"/>
        <v>0</v>
      </c>
      <c r="G32" t="s">
        <v>43</v>
      </c>
      <c r="H32">
        <v>5</v>
      </c>
      <c r="I32">
        <v>61</v>
      </c>
      <c r="J32">
        <v>270</v>
      </c>
      <c r="K32">
        <v>3</v>
      </c>
      <c r="L32">
        <v>6</v>
      </c>
      <c r="M32">
        <v>30</v>
      </c>
      <c r="N32" t="s">
        <v>20</v>
      </c>
      <c r="O32" t="b">
        <v>1</v>
      </c>
      <c r="P32">
        <v>0.5</v>
      </c>
      <c r="Q32" t="b">
        <v>0</v>
      </c>
      <c r="R32">
        <v>3323.5317185618701</v>
      </c>
      <c r="S32">
        <v>3589.8220877353401</v>
      </c>
      <c r="T32">
        <v>3341.16358615433</v>
      </c>
      <c r="U32">
        <v>3341.1224895067498</v>
      </c>
      <c r="V32">
        <v>0</v>
      </c>
      <c r="W32">
        <v>79164396</v>
      </c>
      <c r="X32">
        <v>3600.0570540428098</v>
      </c>
      <c r="Y32">
        <v>3600</v>
      </c>
      <c r="AC32" t="s">
        <v>43</v>
      </c>
      <c r="AD32">
        <v>5</v>
      </c>
      <c r="AE32">
        <v>61</v>
      </c>
      <c r="AF32">
        <v>270</v>
      </c>
      <c r="AG32">
        <v>3</v>
      </c>
      <c r="AH32">
        <v>6</v>
      </c>
      <c r="AI32">
        <v>30</v>
      </c>
      <c r="AJ32" t="s">
        <v>20</v>
      </c>
      <c r="AK32" t="b">
        <v>1</v>
      </c>
      <c r="AL32">
        <v>0.5</v>
      </c>
      <c r="AM32" t="b">
        <v>1</v>
      </c>
      <c r="AN32">
        <v>3323.5317185618701</v>
      </c>
      <c r="AO32">
        <v>3355.42173875857</v>
      </c>
      <c r="AP32">
        <v>3341.1224895067498</v>
      </c>
      <c r="AQ32">
        <v>3341.1224895067498</v>
      </c>
      <c r="AR32">
        <v>0</v>
      </c>
      <c r="AS32">
        <v>11269254</v>
      </c>
      <c r="AT32">
        <v>3600.2165238857201</v>
      </c>
      <c r="AU32">
        <v>3600</v>
      </c>
    </row>
    <row r="33" spans="1:47" x14ac:dyDescent="0.35">
      <c r="A33">
        <f t="shared" si="0"/>
        <v>8.3909155744856641</v>
      </c>
      <c r="B33">
        <f t="shared" si="1"/>
        <v>1.4936069789927189</v>
      </c>
      <c r="C33">
        <f t="shared" si="2"/>
        <v>4.8490965206032563E-2</v>
      </c>
      <c r="D33">
        <f t="shared" si="3"/>
        <v>0</v>
      </c>
      <c r="E33">
        <f t="shared" si="4"/>
        <v>0</v>
      </c>
      <c r="G33" t="s">
        <v>43</v>
      </c>
      <c r="H33">
        <v>5</v>
      </c>
      <c r="I33">
        <v>61</v>
      </c>
      <c r="J33">
        <v>270</v>
      </c>
      <c r="K33">
        <v>3</v>
      </c>
      <c r="L33">
        <v>6</v>
      </c>
      <c r="M33">
        <v>31</v>
      </c>
      <c r="N33" t="s">
        <v>20</v>
      </c>
      <c r="O33" t="b">
        <v>1</v>
      </c>
      <c r="P33">
        <v>0.5</v>
      </c>
      <c r="Q33" t="b">
        <v>0</v>
      </c>
      <c r="R33">
        <v>3340.6656693415998</v>
      </c>
      <c r="S33">
        <v>3620.9781052818798</v>
      </c>
      <c r="T33">
        <v>3342.2855903689701</v>
      </c>
      <c r="U33">
        <v>3342.2855903689701</v>
      </c>
      <c r="V33">
        <v>0</v>
      </c>
      <c r="W33">
        <v>93360608</v>
      </c>
      <c r="X33">
        <v>3600.0462961196899</v>
      </c>
      <c r="Y33">
        <v>3600</v>
      </c>
      <c r="AC33" t="s">
        <v>43</v>
      </c>
      <c r="AD33">
        <v>5</v>
      </c>
      <c r="AE33">
        <v>61</v>
      </c>
      <c r="AF33">
        <v>270</v>
      </c>
      <c r="AG33">
        <v>3</v>
      </c>
      <c r="AH33">
        <v>6</v>
      </c>
      <c r="AI33">
        <v>31</v>
      </c>
      <c r="AJ33" t="s">
        <v>20</v>
      </c>
      <c r="AK33" t="b">
        <v>1</v>
      </c>
      <c r="AL33">
        <v>0.5</v>
      </c>
      <c r="AM33" t="b">
        <v>1</v>
      </c>
      <c r="AN33">
        <v>3340.6656693415998</v>
      </c>
      <c r="AO33">
        <v>3390.5620849236998</v>
      </c>
      <c r="AP33">
        <v>3342.2855976145402</v>
      </c>
      <c r="AQ33">
        <v>3342.2855903689701</v>
      </c>
      <c r="AR33">
        <v>0</v>
      </c>
      <c r="AS33">
        <v>10179351</v>
      </c>
      <c r="AT33">
        <v>3603.7533979415798</v>
      </c>
      <c r="AU33">
        <v>3600</v>
      </c>
    </row>
    <row r="34" spans="1:47" x14ac:dyDescent="0.35">
      <c r="A34">
        <f t="shared" si="0"/>
        <v>11.456767863450844</v>
      </c>
      <c r="B34">
        <f t="shared" si="1"/>
        <v>1.448342161073165</v>
      </c>
      <c r="C34">
        <f t="shared" si="2"/>
        <v>0.48720394725247018</v>
      </c>
      <c r="D34">
        <f t="shared" si="3"/>
        <v>0</v>
      </c>
      <c r="E34">
        <f t="shared" si="4"/>
        <v>0</v>
      </c>
      <c r="G34" t="s">
        <v>43</v>
      </c>
      <c r="H34">
        <v>5</v>
      </c>
      <c r="I34">
        <v>61</v>
      </c>
      <c r="J34">
        <v>270</v>
      </c>
      <c r="K34">
        <v>3</v>
      </c>
      <c r="L34">
        <v>6</v>
      </c>
      <c r="M34">
        <v>32</v>
      </c>
      <c r="N34" t="s">
        <v>20</v>
      </c>
      <c r="O34" t="b">
        <v>1</v>
      </c>
      <c r="P34">
        <v>0.5</v>
      </c>
      <c r="Q34" t="b">
        <v>0</v>
      </c>
      <c r="R34">
        <v>3268.1778494866899</v>
      </c>
      <c r="S34">
        <v>3642.6053990670998</v>
      </c>
      <c r="T34">
        <v>3284.1007000559498</v>
      </c>
      <c r="U34">
        <v>3284.1005409726199</v>
      </c>
      <c r="V34">
        <v>0</v>
      </c>
      <c r="W34">
        <v>120791990</v>
      </c>
      <c r="X34">
        <v>3600.0260310172998</v>
      </c>
      <c r="Y34">
        <v>3600</v>
      </c>
      <c r="AC34" t="s">
        <v>43</v>
      </c>
      <c r="AD34">
        <v>5</v>
      </c>
      <c r="AE34">
        <v>61</v>
      </c>
      <c r="AF34">
        <v>270</v>
      </c>
      <c r="AG34">
        <v>3</v>
      </c>
      <c r="AH34">
        <v>6</v>
      </c>
      <c r="AI34">
        <v>32</v>
      </c>
      <c r="AJ34" t="s">
        <v>20</v>
      </c>
      <c r="AK34" t="b">
        <v>1</v>
      </c>
      <c r="AL34">
        <v>0.5</v>
      </c>
      <c r="AM34" t="b">
        <v>1</v>
      </c>
      <c r="AN34">
        <v>3268.1778494866899</v>
      </c>
      <c r="AO34">
        <v>3315.5122471796599</v>
      </c>
      <c r="AP34">
        <v>3284.1008863291299</v>
      </c>
      <c r="AQ34">
        <v>3284.1005409726199</v>
      </c>
      <c r="AR34">
        <v>0</v>
      </c>
      <c r="AS34">
        <v>9891266</v>
      </c>
      <c r="AT34">
        <v>3600.34558010101</v>
      </c>
      <c r="AU34">
        <v>3600</v>
      </c>
    </row>
    <row r="35" spans="1:47" x14ac:dyDescent="0.35">
      <c r="A35">
        <f t="shared" si="0"/>
        <v>11.476493435711735</v>
      </c>
      <c r="B35">
        <f t="shared" si="1"/>
        <v>2.0018106956112671</v>
      </c>
      <c r="C35">
        <f t="shared" si="2"/>
        <v>0.69078547875004859</v>
      </c>
      <c r="D35">
        <f t="shared" si="3"/>
        <v>0</v>
      </c>
      <c r="E35">
        <f t="shared" si="4"/>
        <v>0</v>
      </c>
      <c r="G35" t="s">
        <v>43</v>
      </c>
      <c r="H35">
        <v>5</v>
      </c>
      <c r="I35">
        <v>61</v>
      </c>
      <c r="J35">
        <v>270</v>
      </c>
      <c r="K35">
        <v>3</v>
      </c>
      <c r="L35">
        <v>6</v>
      </c>
      <c r="M35">
        <v>33</v>
      </c>
      <c r="N35" t="s">
        <v>20</v>
      </c>
      <c r="O35" t="b">
        <v>1</v>
      </c>
      <c r="P35">
        <v>0.5</v>
      </c>
      <c r="Q35" t="b">
        <v>0</v>
      </c>
      <c r="R35">
        <v>3270.3658091290799</v>
      </c>
      <c r="S35">
        <v>3645.6891265375398</v>
      </c>
      <c r="T35">
        <v>3292.9870457868601</v>
      </c>
      <c r="U35">
        <v>3292.9570212405501</v>
      </c>
      <c r="V35">
        <v>0</v>
      </c>
      <c r="W35">
        <v>79619002</v>
      </c>
      <c r="X35">
        <v>3600.1647009849498</v>
      </c>
      <c r="Y35">
        <v>3600</v>
      </c>
      <c r="AC35" t="s">
        <v>43</v>
      </c>
      <c r="AD35">
        <v>5</v>
      </c>
      <c r="AE35">
        <v>61</v>
      </c>
      <c r="AF35">
        <v>270</v>
      </c>
      <c r="AG35">
        <v>3</v>
      </c>
      <c r="AH35">
        <v>6</v>
      </c>
      <c r="AI35">
        <v>33</v>
      </c>
      <c r="AJ35" t="s">
        <v>20</v>
      </c>
      <c r="AK35" t="b">
        <v>1</v>
      </c>
      <c r="AL35">
        <v>0.5</v>
      </c>
      <c r="AM35" t="b">
        <v>1</v>
      </c>
      <c r="AN35">
        <v>3270.3658091290799</v>
      </c>
      <c r="AO35">
        <v>3335.8323416818398</v>
      </c>
      <c r="AP35">
        <v>3292.9822992036902</v>
      </c>
      <c r="AQ35">
        <v>3292.9570212405501</v>
      </c>
      <c r="AR35">
        <v>0</v>
      </c>
      <c r="AS35">
        <v>10903947</v>
      </c>
      <c r="AT35">
        <v>3600.69685316085</v>
      </c>
      <c r="AU35">
        <v>3600</v>
      </c>
    </row>
    <row r="36" spans="1:47" x14ac:dyDescent="0.35">
      <c r="A36">
        <f t="shared" si="0"/>
        <v>9.6373921948466688</v>
      </c>
      <c r="B36">
        <f t="shared" si="1"/>
        <v>2.5824211887905451</v>
      </c>
      <c r="C36">
        <f t="shared" si="2"/>
        <v>0.31413899876543666</v>
      </c>
      <c r="D36">
        <f t="shared" si="3"/>
        <v>0</v>
      </c>
      <c r="E36">
        <f t="shared" si="4"/>
        <v>0</v>
      </c>
      <c r="G36" t="s">
        <v>43</v>
      </c>
      <c r="H36">
        <v>5</v>
      </c>
      <c r="I36">
        <v>61</v>
      </c>
      <c r="J36">
        <v>270</v>
      </c>
      <c r="K36">
        <v>3</v>
      </c>
      <c r="L36">
        <v>6</v>
      </c>
      <c r="M36">
        <v>34</v>
      </c>
      <c r="N36" t="s">
        <v>20</v>
      </c>
      <c r="O36" t="b">
        <v>1</v>
      </c>
      <c r="P36">
        <v>0.5</v>
      </c>
      <c r="Q36" t="b">
        <v>0</v>
      </c>
      <c r="R36">
        <v>3257.1988671137001</v>
      </c>
      <c r="S36">
        <v>3571.1078965035499</v>
      </c>
      <c r="T36">
        <v>3267.4312203699201</v>
      </c>
      <c r="U36">
        <v>3267.4309990226502</v>
      </c>
      <c r="V36">
        <v>0</v>
      </c>
      <c r="W36">
        <v>89918111</v>
      </c>
      <c r="X36">
        <v>3600.1230399608598</v>
      </c>
      <c r="Y36">
        <v>3600</v>
      </c>
      <c r="AC36" t="s">
        <v>43</v>
      </c>
      <c r="AD36">
        <v>5</v>
      </c>
      <c r="AE36">
        <v>61</v>
      </c>
      <c r="AF36">
        <v>270</v>
      </c>
      <c r="AG36">
        <v>3</v>
      </c>
      <c r="AH36">
        <v>6</v>
      </c>
      <c r="AI36">
        <v>34</v>
      </c>
      <c r="AJ36" t="s">
        <v>20</v>
      </c>
      <c r="AK36" t="b">
        <v>1</v>
      </c>
      <c r="AL36">
        <v>0.5</v>
      </c>
      <c r="AM36" t="b">
        <v>1</v>
      </c>
      <c r="AN36">
        <v>3257.1988671137001</v>
      </c>
      <c r="AO36">
        <v>3341.3134608190899</v>
      </c>
      <c r="AP36">
        <v>3267.4310383652301</v>
      </c>
      <c r="AQ36">
        <v>3267.4309990226502</v>
      </c>
      <c r="AR36">
        <v>0</v>
      </c>
      <c r="AS36">
        <v>7177883</v>
      </c>
      <c r="AT36">
        <v>3602.31376814842</v>
      </c>
      <c r="AU36">
        <v>3600</v>
      </c>
    </row>
    <row r="37" spans="1:47" x14ac:dyDescent="0.35">
      <c r="A37">
        <f t="shared" si="0"/>
        <v>9.6458417038427005</v>
      </c>
      <c r="B37">
        <f t="shared" si="1"/>
        <v>1.4991730797009055</v>
      </c>
      <c r="C37">
        <f t="shared" si="2"/>
        <v>0.52286933882196884</v>
      </c>
      <c r="D37">
        <f t="shared" si="3"/>
        <v>0</v>
      </c>
      <c r="E37">
        <f t="shared" si="4"/>
        <v>0</v>
      </c>
      <c r="G37" t="s">
        <v>43</v>
      </c>
      <c r="H37">
        <v>5</v>
      </c>
      <c r="I37">
        <v>61</v>
      </c>
      <c r="J37">
        <v>270</v>
      </c>
      <c r="K37">
        <v>3</v>
      </c>
      <c r="L37">
        <v>6</v>
      </c>
      <c r="M37">
        <v>35</v>
      </c>
      <c r="N37" t="s">
        <v>20</v>
      </c>
      <c r="O37" t="b">
        <v>1</v>
      </c>
      <c r="P37">
        <v>0.5</v>
      </c>
      <c r="Q37" t="b">
        <v>0</v>
      </c>
      <c r="R37">
        <v>3286.6173099779899</v>
      </c>
      <c r="S37">
        <v>3603.6392131095599</v>
      </c>
      <c r="T37">
        <v>3303.8241228422098</v>
      </c>
      <c r="U37">
        <v>3303.8020241762802</v>
      </c>
      <c r="V37">
        <v>0</v>
      </c>
      <c r="W37">
        <v>82611836</v>
      </c>
      <c r="X37">
        <v>3600.1717810630798</v>
      </c>
      <c r="Y37">
        <v>3600</v>
      </c>
      <c r="AC37" t="s">
        <v>43</v>
      </c>
      <c r="AD37">
        <v>5</v>
      </c>
      <c r="AE37">
        <v>61</v>
      </c>
      <c r="AF37">
        <v>270</v>
      </c>
      <c r="AG37">
        <v>3</v>
      </c>
      <c r="AH37">
        <v>6</v>
      </c>
      <c r="AI37">
        <v>35</v>
      </c>
      <c r="AJ37" t="s">
        <v>20</v>
      </c>
      <c r="AK37" t="b">
        <v>1</v>
      </c>
      <c r="AL37">
        <v>0.5</v>
      </c>
      <c r="AM37" t="b">
        <v>1</v>
      </c>
      <c r="AN37">
        <v>3286.6173099779899</v>
      </c>
      <c r="AO37">
        <v>3335.8893919219699</v>
      </c>
      <c r="AP37">
        <v>3303.8020241762802</v>
      </c>
      <c r="AQ37">
        <v>3303.8020241762802</v>
      </c>
      <c r="AR37">
        <v>0</v>
      </c>
      <c r="AS37">
        <v>10638913</v>
      </c>
      <c r="AT37">
        <v>3602.75591802597</v>
      </c>
      <c r="AU37">
        <v>3600</v>
      </c>
    </row>
    <row r="38" spans="1:47" x14ac:dyDescent="0.35">
      <c r="A38">
        <f t="shared" si="0"/>
        <v>9.160489126367672</v>
      </c>
      <c r="B38">
        <f t="shared" si="1"/>
        <v>1.5142088655155876</v>
      </c>
      <c r="C38">
        <f t="shared" si="2"/>
        <v>0.25448399831791957</v>
      </c>
      <c r="D38">
        <f t="shared" si="3"/>
        <v>0</v>
      </c>
      <c r="E38">
        <f t="shared" si="4"/>
        <v>0</v>
      </c>
      <c r="G38" t="s">
        <v>43</v>
      </c>
      <c r="H38">
        <v>5</v>
      </c>
      <c r="I38">
        <v>61</v>
      </c>
      <c r="J38">
        <v>270</v>
      </c>
      <c r="K38">
        <v>3</v>
      </c>
      <c r="L38">
        <v>6</v>
      </c>
      <c r="M38">
        <v>36</v>
      </c>
      <c r="N38" t="s">
        <v>20</v>
      </c>
      <c r="O38" t="b">
        <v>1</v>
      </c>
      <c r="P38">
        <v>0.5</v>
      </c>
      <c r="Q38" t="b">
        <v>0</v>
      </c>
      <c r="R38">
        <v>3247.5323902311202</v>
      </c>
      <c r="S38">
        <v>3545.0222417135101</v>
      </c>
      <c r="T38">
        <v>3255.7992880419702</v>
      </c>
      <c r="U38">
        <v>3255.7968405044498</v>
      </c>
      <c r="V38">
        <v>0</v>
      </c>
      <c r="W38">
        <v>78203564</v>
      </c>
      <c r="X38">
        <v>3600.1569159030901</v>
      </c>
      <c r="Y38">
        <v>3600</v>
      </c>
      <c r="AC38" t="s">
        <v>43</v>
      </c>
      <c r="AD38">
        <v>5</v>
      </c>
      <c r="AE38">
        <v>61</v>
      </c>
      <c r="AF38">
        <v>270</v>
      </c>
      <c r="AG38">
        <v>3</v>
      </c>
      <c r="AH38">
        <v>6</v>
      </c>
      <c r="AI38">
        <v>36</v>
      </c>
      <c r="AJ38" t="s">
        <v>20</v>
      </c>
      <c r="AK38" t="b">
        <v>1</v>
      </c>
      <c r="AL38">
        <v>0.5</v>
      </c>
      <c r="AM38" t="b">
        <v>1</v>
      </c>
      <c r="AN38">
        <v>3247.5323902311202</v>
      </c>
      <c r="AO38">
        <v>3296.7068135944901</v>
      </c>
      <c r="AP38">
        <v>3255.7968405044498</v>
      </c>
      <c r="AQ38">
        <v>3255.7968405044498</v>
      </c>
      <c r="AR38">
        <v>0</v>
      </c>
      <c r="AS38">
        <v>8295924</v>
      </c>
      <c r="AT38">
        <v>3604.4702479839302</v>
      </c>
      <c r="AU38">
        <v>3600</v>
      </c>
    </row>
    <row r="39" spans="1:47" x14ac:dyDescent="0.35">
      <c r="A39">
        <f t="shared" si="0"/>
        <v>7.4256194358231387</v>
      </c>
      <c r="B39">
        <f t="shared" si="1"/>
        <v>0.498652682110243</v>
      </c>
      <c r="C39">
        <f t="shared" si="2"/>
        <v>0.11353640919119802</v>
      </c>
      <c r="D39">
        <f t="shared" si="3"/>
        <v>0</v>
      </c>
      <c r="E39">
        <f t="shared" si="4"/>
        <v>0</v>
      </c>
      <c r="G39" t="s">
        <v>43</v>
      </c>
      <c r="H39">
        <v>5</v>
      </c>
      <c r="I39">
        <v>61</v>
      </c>
      <c r="J39">
        <v>270</v>
      </c>
      <c r="K39">
        <v>3</v>
      </c>
      <c r="L39">
        <v>6</v>
      </c>
      <c r="M39">
        <v>37</v>
      </c>
      <c r="N39" t="s">
        <v>20</v>
      </c>
      <c r="O39" t="b">
        <v>1</v>
      </c>
      <c r="P39">
        <v>0.5</v>
      </c>
      <c r="Q39" t="b">
        <v>0</v>
      </c>
      <c r="R39">
        <v>3322.9327763280098</v>
      </c>
      <c r="S39">
        <v>3569.6811184063599</v>
      </c>
      <c r="T39">
        <v>3326.7328060616901</v>
      </c>
      <c r="U39">
        <v>3326.70551488209</v>
      </c>
      <c r="V39">
        <v>0</v>
      </c>
      <c r="W39">
        <v>84385243</v>
      </c>
      <c r="X39">
        <v>3600.1247909069002</v>
      </c>
      <c r="Y39">
        <v>3600</v>
      </c>
      <c r="AC39" t="s">
        <v>43</v>
      </c>
      <c r="AD39">
        <v>5</v>
      </c>
      <c r="AE39">
        <v>61</v>
      </c>
      <c r="AF39">
        <v>270</v>
      </c>
      <c r="AG39">
        <v>3</v>
      </c>
      <c r="AH39">
        <v>6</v>
      </c>
      <c r="AI39">
        <v>37</v>
      </c>
      <c r="AJ39" t="s">
        <v>20</v>
      </c>
      <c r="AK39" t="b">
        <v>1</v>
      </c>
      <c r="AL39">
        <v>0.5</v>
      </c>
      <c r="AM39" t="b">
        <v>1</v>
      </c>
      <c r="AN39">
        <v>3322.9327763280098</v>
      </c>
      <c r="AO39">
        <v>3339.5026697418898</v>
      </c>
      <c r="AP39">
        <v>3326.7055469717402</v>
      </c>
      <c r="AQ39">
        <v>3326.70551488209</v>
      </c>
      <c r="AR39">
        <v>0</v>
      </c>
      <c r="AS39">
        <v>13374677</v>
      </c>
      <c r="AT39">
        <v>3600.05924081802</v>
      </c>
      <c r="AU39">
        <v>3600</v>
      </c>
    </row>
    <row r="40" spans="1:47" x14ac:dyDescent="0.35">
      <c r="A40">
        <f t="shared" si="0"/>
        <v>10.237724747033472</v>
      </c>
      <c r="B40">
        <f t="shared" si="1"/>
        <v>0.52114593956458966</v>
      </c>
      <c r="C40">
        <f t="shared" si="2"/>
        <v>0.5120693365843384</v>
      </c>
      <c r="D40">
        <f t="shared" si="3"/>
        <v>0</v>
      </c>
      <c r="E40">
        <f t="shared" si="4"/>
        <v>1</v>
      </c>
      <c r="F40">
        <f>(AQ40-AN40)/AN40*100</f>
        <v>0.5120693365843384</v>
      </c>
      <c r="G40" t="s">
        <v>43</v>
      </c>
      <c r="H40">
        <v>5</v>
      </c>
      <c r="I40">
        <v>61</v>
      </c>
      <c r="J40">
        <v>270</v>
      </c>
      <c r="K40">
        <v>3</v>
      </c>
      <c r="L40">
        <v>6</v>
      </c>
      <c r="M40">
        <v>38</v>
      </c>
      <c r="N40" t="s">
        <v>20</v>
      </c>
      <c r="O40" t="b">
        <v>1</v>
      </c>
      <c r="P40">
        <v>0.5</v>
      </c>
      <c r="Q40" t="b">
        <v>0</v>
      </c>
      <c r="R40">
        <v>3374.4589917256199</v>
      </c>
      <c r="S40">
        <v>3719.9268150000098</v>
      </c>
      <c r="T40">
        <v>3391.7828582499101</v>
      </c>
      <c r="U40">
        <v>3391.7385614978598</v>
      </c>
      <c r="V40">
        <v>0</v>
      </c>
      <c r="W40">
        <v>110294596</v>
      </c>
      <c r="X40">
        <v>3600.13239598274</v>
      </c>
      <c r="Y40">
        <v>3600</v>
      </c>
      <c r="AC40" t="s">
        <v>43</v>
      </c>
      <c r="AD40">
        <v>5</v>
      </c>
      <c r="AE40">
        <v>61</v>
      </c>
      <c r="AF40">
        <v>270</v>
      </c>
      <c r="AG40">
        <v>3</v>
      </c>
      <c r="AH40">
        <v>6</v>
      </c>
      <c r="AI40">
        <v>38</v>
      </c>
      <c r="AJ40" t="s">
        <v>20</v>
      </c>
      <c r="AK40" t="b">
        <v>1</v>
      </c>
      <c r="AL40">
        <v>0.5</v>
      </c>
      <c r="AM40" t="b">
        <v>1</v>
      </c>
      <c r="AN40">
        <v>3374.4589917256199</v>
      </c>
      <c r="AO40">
        <v>3392.0448477432701</v>
      </c>
      <c r="AP40">
        <v>3391.7385614978598</v>
      </c>
      <c r="AQ40">
        <v>3391.7385614978598</v>
      </c>
      <c r="AR40">
        <v>0</v>
      </c>
      <c r="AS40">
        <v>6790088</v>
      </c>
      <c r="AT40">
        <v>1814.4036898612901</v>
      </c>
      <c r="AU40">
        <v>3600</v>
      </c>
    </row>
    <row r="41" spans="1:47" x14ac:dyDescent="0.35">
      <c r="A41">
        <f t="shared" si="0"/>
        <v>8.4281713156616807</v>
      </c>
      <c r="B41">
        <f t="shared" si="1"/>
        <v>2.4690855327547898</v>
      </c>
      <c r="C41">
        <f t="shared" si="2"/>
        <v>0.16710499723801908</v>
      </c>
      <c r="D41">
        <f t="shared" si="3"/>
        <v>0</v>
      </c>
      <c r="E41">
        <f t="shared" si="4"/>
        <v>0</v>
      </c>
      <c r="G41" t="s">
        <v>43</v>
      </c>
      <c r="H41">
        <v>5</v>
      </c>
      <c r="I41">
        <v>61</v>
      </c>
      <c r="J41">
        <v>270</v>
      </c>
      <c r="K41">
        <v>3</v>
      </c>
      <c r="L41">
        <v>6</v>
      </c>
      <c r="M41">
        <v>39</v>
      </c>
      <c r="N41" t="s">
        <v>20</v>
      </c>
      <c r="O41" t="b">
        <v>1</v>
      </c>
      <c r="P41">
        <v>0.5</v>
      </c>
      <c r="Q41" t="b">
        <v>0</v>
      </c>
      <c r="R41">
        <v>3313.8842517630101</v>
      </c>
      <c r="S41">
        <v>3593.1840937043298</v>
      </c>
      <c r="T41">
        <v>3319.4219179503998</v>
      </c>
      <c r="U41">
        <v>3319.4219179503898</v>
      </c>
      <c r="V41">
        <v>0</v>
      </c>
      <c r="W41">
        <v>88456381</v>
      </c>
      <c r="X41">
        <v>3600.1937351226802</v>
      </c>
      <c r="Y41">
        <v>3600</v>
      </c>
      <c r="AC41" t="s">
        <v>43</v>
      </c>
      <c r="AD41">
        <v>5</v>
      </c>
      <c r="AE41">
        <v>61</v>
      </c>
      <c r="AF41">
        <v>270</v>
      </c>
      <c r="AG41">
        <v>3</v>
      </c>
      <c r="AH41">
        <v>6</v>
      </c>
      <c r="AI41">
        <v>39</v>
      </c>
      <c r="AJ41" t="s">
        <v>20</v>
      </c>
      <c r="AK41" t="b">
        <v>1</v>
      </c>
      <c r="AL41">
        <v>0.5</v>
      </c>
      <c r="AM41" t="b">
        <v>1</v>
      </c>
      <c r="AN41">
        <v>3313.8842517630101</v>
      </c>
      <c r="AO41">
        <v>3395.7068883955299</v>
      </c>
      <c r="AP41">
        <v>3319.4219223714199</v>
      </c>
      <c r="AQ41">
        <v>3319.4219179503898</v>
      </c>
      <c r="AR41">
        <v>0</v>
      </c>
      <c r="AS41">
        <v>6985047</v>
      </c>
      <c r="AT41">
        <v>3602.65931200981</v>
      </c>
      <c r="AU41">
        <v>3600</v>
      </c>
    </row>
    <row r="42" spans="1:47" x14ac:dyDescent="0.35">
      <c r="A42">
        <f t="shared" si="0"/>
        <v>8.6995548709815047</v>
      </c>
      <c r="B42">
        <f t="shared" si="1"/>
        <v>2.7406553741895925</v>
      </c>
      <c r="C42">
        <f t="shared" si="2"/>
        <v>0.23616624707526149</v>
      </c>
      <c r="D42">
        <f t="shared" si="3"/>
        <v>0</v>
      </c>
      <c r="E42">
        <f t="shared" si="4"/>
        <v>0</v>
      </c>
      <c r="G42" t="s">
        <v>43</v>
      </c>
      <c r="H42">
        <v>5</v>
      </c>
      <c r="I42">
        <v>61</v>
      </c>
      <c r="J42">
        <v>270</v>
      </c>
      <c r="K42">
        <v>3</v>
      </c>
      <c r="L42">
        <v>6</v>
      </c>
      <c r="M42">
        <v>40</v>
      </c>
      <c r="N42" t="s">
        <v>20</v>
      </c>
      <c r="O42" t="b">
        <v>1</v>
      </c>
      <c r="P42">
        <v>0.5</v>
      </c>
      <c r="Q42" t="b">
        <v>0</v>
      </c>
      <c r="R42">
        <v>3325.8689911081201</v>
      </c>
      <c r="S42">
        <v>3615.20478892653</v>
      </c>
      <c r="T42">
        <v>3333.7372259667</v>
      </c>
      <c r="U42">
        <v>3333.72357108706</v>
      </c>
      <c r="V42">
        <v>0</v>
      </c>
      <c r="W42">
        <v>74987655</v>
      </c>
      <c r="X42">
        <v>3600.0767650604198</v>
      </c>
      <c r="Y42">
        <v>3600</v>
      </c>
      <c r="AC42" t="s">
        <v>43</v>
      </c>
      <c r="AD42">
        <v>5</v>
      </c>
      <c r="AE42">
        <v>61</v>
      </c>
      <c r="AF42">
        <v>270</v>
      </c>
      <c r="AG42">
        <v>3</v>
      </c>
      <c r="AH42">
        <v>6</v>
      </c>
      <c r="AI42">
        <v>40</v>
      </c>
      <c r="AJ42" t="s">
        <v>20</v>
      </c>
      <c r="AK42" t="b">
        <v>1</v>
      </c>
      <c r="AL42">
        <v>0.5</v>
      </c>
      <c r="AM42" t="b">
        <v>1</v>
      </c>
      <c r="AN42">
        <v>3325.8689911081201</v>
      </c>
      <c r="AO42">
        <v>3417.01959835143</v>
      </c>
      <c r="AP42">
        <v>3333.7235754734402</v>
      </c>
      <c r="AQ42">
        <v>3333.72357108706</v>
      </c>
      <c r="AR42">
        <v>0</v>
      </c>
      <c r="AS42">
        <v>6878233</v>
      </c>
      <c r="AT42">
        <v>3601.9254322052002</v>
      </c>
      <c r="AU42">
        <v>3600</v>
      </c>
    </row>
    <row r="43" spans="1:47" x14ac:dyDescent="0.35">
      <c r="A43">
        <f t="shared" si="0"/>
        <v>9.6148752165686435</v>
      </c>
      <c r="B43">
        <f t="shared" si="1"/>
        <v>4.0117455370878687</v>
      </c>
      <c r="C43">
        <f t="shared" si="2"/>
        <v>0.54419793420291351</v>
      </c>
      <c r="D43">
        <f t="shared" si="3"/>
        <v>0</v>
      </c>
      <c r="E43">
        <f t="shared" si="4"/>
        <v>0</v>
      </c>
      <c r="G43" t="s">
        <v>43</v>
      </c>
      <c r="H43">
        <v>5</v>
      </c>
      <c r="I43">
        <v>61</v>
      </c>
      <c r="J43">
        <v>270</v>
      </c>
      <c r="K43">
        <v>3</v>
      </c>
      <c r="L43">
        <v>6</v>
      </c>
      <c r="M43">
        <v>41</v>
      </c>
      <c r="N43" t="s">
        <v>20</v>
      </c>
      <c r="O43" t="b">
        <v>1</v>
      </c>
      <c r="P43">
        <v>0.5</v>
      </c>
      <c r="Q43" t="b">
        <v>0</v>
      </c>
      <c r="R43">
        <v>3259.16647343369</v>
      </c>
      <c r="S43">
        <v>3572.5312629545801</v>
      </c>
      <c r="T43">
        <v>3276.9370715568598</v>
      </c>
      <c r="U43">
        <v>3276.9027900543501</v>
      </c>
      <c r="V43">
        <v>0</v>
      </c>
      <c r="W43">
        <v>88856055</v>
      </c>
      <c r="X43">
        <v>3600.1394178867299</v>
      </c>
      <c r="Y43">
        <v>3600</v>
      </c>
      <c r="AC43" t="s">
        <v>43</v>
      </c>
      <c r="AD43">
        <v>5</v>
      </c>
      <c r="AE43">
        <v>61</v>
      </c>
      <c r="AF43">
        <v>270</v>
      </c>
      <c r="AG43">
        <v>3</v>
      </c>
      <c r="AH43">
        <v>6</v>
      </c>
      <c r="AI43">
        <v>41</v>
      </c>
      <c r="AJ43" t="s">
        <v>20</v>
      </c>
      <c r="AK43" t="b">
        <v>1</v>
      </c>
      <c r="AL43">
        <v>0.5</v>
      </c>
      <c r="AM43" t="b">
        <v>1</v>
      </c>
      <c r="AN43">
        <v>3259.16647343369</v>
      </c>
      <c r="AO43">
        <v>3389.9159389779302</v>
      </c>
      <c r="AP43">
        <v>3276.9444691194599</v>
      </c>
      <c r="AQ43">
        <v>3276.9027900543501</v>
      </c>
      <c r="AR43">
        <v>0</v>
      </c>
      <c r="AS43">
        <v>5823691</v>
      </c>
      <c r="AT43">
        <v>3601.61326599121</v>
      </c>
      <c r="AU43">
        <v>3600</v>
      </c>
    </row>
    <row r="44" spans="1:47" x14ac:dyDescent="0.35">
      <c r="A44">
        <f t="shared" si="0"/>
        <v>9.4903732999914698</v>
      </c>
      <c r="B44">
        <f t="shared" si="1"/>
        <v>1.1652880739618452</v>
      </c>
      <c r="C44">
        <f t="shared" si="2"/>
        <v>1.1561103218694908</v>
      </c>
      <c r="D44">
        <f t="shared" si="3"/>
        <v>0</v>
      </c>
      <c r="E44">
        <f t="shared" si="4"/>
        <v>1</v>
      </c>
      <c r="F44">
        <f>(AQ44-AN44)/AN44*100</f>
        <v>1.1561103218694908</v>
      </c>
      <c r="G44" t="s">
        <v>43</v>
      </c>
      <c r="H44">
        <v>5</v>
      </c>
      <c r="I44">
        <v>61</v>
      </c>
      <c r="J44">
        <v>270</v>
      </c>
      <c r="K44">
        <v>3</v>
      </c>
      <c r="L44">
        <v>6</v>
      </c>
      <c r="M44">
        <v>42</v>
      </c>
      <c r="N44" t="s">
        <v>20</v>
      </c>
      <c r="O44" t="b">
        <v>1</v>
      </c>
      <c r="P44">
        <v>0.5</v>
      </c>
      <c r="Q44" t="b">
        <v>0</v>
      </c>
      <c r="R44">
        <v>3289.5612426910602</v>
      </c>
      <c r="S44">
        <v>3601.7528845542802</v>
      </c>
      <c r="T44">
        <v>3327.5921997620298</v>
      </c>
      <c r="U44">
        <v>3327.5921997620298</v>
      </c>
      <c r="V44">
        <v>0</v>
      </c>
      <c r="W44">
        <v>82704946</v>
      </c>
      <c r="X44">
        <v>3600.0295639038</v>
      </c>
      <c r="Y44">
        <v>3600</v>
      </c>
      <c r="AC44" t="s">
        <v>43</v>
      </c>
      <c r="AD44">
        <v>5</v>
      </c>
      <c r="AE44">
        <v>61</v>
      </c>
      <c r="AF44">
        <v>270</v>
      </c>
      <c r="AG44">
        <v>3</v>
      </c>
      <c r="AH44">
        <v>6</v>
      </c>
      <c r="AI44">
        <v>42</v>
      </c>
      <c r="AJ44" t="s">
        <v>20</v>
      </c>
      <c r="AK44" t="b">
        <v>1</v>
      </c>
      <c r="AL44">
        <v>0.5</v>
      </c>
      <c r="AM44" t="b">
        <v>1</v>
      </c>
      <c r="AN44">
        <v>3289.5612426910602</v>
      </c>
      <c r="AO44">
        <v>3327.8941075378102</v>
      </c>
      <c r="AP44">
        <v>3327.5921997620298</v>
      </c>
      <c r="AQ44">
        <v>3327.5921997620298</v>
      </c>
      <c r="AR44">
        <v>0</v>
      </c>
      <c r="AS44">
        <v>2989442</v>
      </c>
      <c r="AT44">
        <v>616.48768806457497</v>
      </c>
      <c r="AU44">
        <v>3600</v>
      </c>
    </row>
    <row r="45" spans="1:47" x14ac:dyDescent="0.35">
      <c r="A45">
        <f t="shared" si="0"/>
        <v>9.5163174125876733</v>
      </c>
      <c r="B45">
        <f t="shared" si="1"/>
        <v>3.0819643907237833</v>
      </c>
      <c r="C45">
        <f t="shared" si="2"/>
        <v>0.32217341915206626</v>
      </c>
      <c r="D45">
        <f t="shared" si="3"/>
        <v>0</v>
      </c>
      <c r="E45">
        <f t="shared" si="4"/>
        <v>0</v>
      </c>
      <c r="G45" t="s">
        <v>43</v>
      </c>
      <c r="H45">
        <v>5</v>
      </c>
      <c r="I45">
        <v>61</v>
      </c>
      <c r="J45">
        <v>270</v>
      </c>
      <c r="K45">
        <v>3</v>
      </c>
      <c r="L45">
        <v>6</v>
      </c>
      <c r="M45">
        <v>43</v>
      </c>
      <c r="N45" t="s">
        <v>20</v>
      </c>
      <c r="O45" t="b">
        <v>1</v>
      </c>
      <c r="P45">
        <v>0.5</v>
      </c>
      <c r="Q45" t="b">
        <v>0</v>
      </c>
      <c r="R45">
        <v>3252.4024112225202</v>
      </c>
      <c r="S45">
        <v>3561.9113482091102</v>
      </c>
      <c r="T45">
        <v>3262.88078727534</v>
      </c>
      <c r="U45">
        <v>3262.88078727534</v>
      </c>
      <c r="V45">
        <v>0</v>
      </c>
      <c r="W45">
        <v>89451361</v>
      </c>
      <c r="X45">
        <v>3600.1106340885099</v>
      </c>
      <c r="Y45">
        <v>3600</v>
      </c>
      <c r="AC45" t="s">
        <v>43</v>
      </c>
      <c r="AD45">
        <v>5</v>
      </c>
      <c r="AE45">
        <v>61</v>
      </c>
      <c r="AF45">
        <v>270</v>
      </c>
      <c r="AG45">
        <v>3</v>
      </c>
      <c r="AH45">
        <v>6</v>
      </c>
      <c r="AI45">
        <v>43</v>
      </c>
      <c r="AJ45" t="s">
        <v>20</v>
      </c>
      <c r="AK45" t="b">
        <v>1</v>
      </c>
      <c r="AL45">
        <v>0.5</v>
      </c>
      <c r="AM45" t="b">
        <v>1</v>
      </c>
      <c r="AN45">
        <v>3252.4024112225202</v>
      </c>
      <c r="AO45">
        <v>3352.64029537944</v>
      </c>
      <c r="AP45">
        <v>3262.8807895864002</v>
      </c>
      <c r="AQ45">
        <v>3262.88078727534</v>
      </c>
      <c r="AR45">
        <v>0</v>
      </c>
      <c r="AS45">
        <v>12131440</v>
      </c>
      <c r="AT45">
        <v>3602.6296458244301</v>
      </c>
      <c r="AU45">
        <v>3600</v>
      </c>
    </row>
    <row r="46" spans="1:47" x14ac:dyDescent="0.35">
      <c r="A46">
        <f t="shared" si="0"/>
        <v>7.6115956316300828</v>
      </c>
      <c r="B46">
        <f t="shared" si="1"/>
        <v>8.896658628779636E-3</v>
      </c>
      <c r="C46">
        <f t="shared" si="2"/>
        <v>0</v>
      </c>
      <c r="D46">
        <f t="shared" si="3"/>
        <v>0</v>
      </c>
      <c r="E46">
        <f t="shared" si="4"/>
        <v>1</v>
      </c>
      <c r="F46">
        <f t="shared" ref="F46:F47" si="5">(AQ46-AN46)/AN46*100</f>
        <v>0</v>
      </c>
      <c r="G46" t="s">
        <v>43</v>
      </c>
      <c r="H46">
        <v>5</v>
      </c>
      <c r="I46">
        <v>61</v>
      </c>
      <c r="J46">
        <v>270</v>
      </c>
      <c r="K46">
        <v>3</v>
      </c>
      <c r="L46">
        <v>6</v>
      </c>
      <c r="M46">
        <v>44</v>
      </c>
      <c r="N46" t="s">
        <v>20</v>
      </c>
      <c r="O46" t="b">
        <v>1</v>
      </c>
      <c r="P46">
        <v>0.5</v>
      </c>
      <c r="Q46" t="b">
        <v>0</v>
      </c>
      <c r="R46">
        <v>3329.6332681764402</v>
      </c>
      <c r="S46">
        <v>3583.0714885662601</v>
      </c>
      <c r="T46">
        <v>3329.6511889595699</v>
      </c>
      <c r="U46">
        <v>3329.6332681764402</v>
      </c>
      <c r="V46">
        <v>0</v>
      </c>
      <c r="W46">
        <v>87856901</v>
      </c>
      <c r="X46">
        <v>3600.0459220409298</v>
      </c>
      <c r="Y46">
        <v>3600</v>
      </c>
      <c r="AC46" t="s">
        <v>43</v>
      </c>
      <c r="AD46">
        <v>5</v>
      </c>
      <c r="AE46">
        <v>61</v>
      </c>
      <c r="AF46">
        <v>270</v>
      </c>
      <c r="AG46">
        <v>3</v>
      </c>
      <c r="AH46">
        <v>6</v>
      </c>
      <c r="AI46">
        <v>44</v>
      </c>
      <c r="AJ46" t="s">
        <v>20</v>
      </c>
      <c r="AK46" t="b">
        <v>1</v>
      </c>
      <c r="AL46">
        <v>0.5</v>
      </c>
      <c r="AM46" t="b">
        <v>1</v>
      </c>
      <c r="AN46">
        <v>3329.6332681764402</v>
      </c>
      <c r="AO46">
        <v>3329.9294942819001</v>
      </c>
      <c r="AP46">
        <v>3329.6332681764402</v>
      </c>
      <c r="AQ46">
        <v>3329.6332681764402</v>
      </c>
      <c r="AR46">
        <v>0</v>
      </c>
      <c r="AS46">
        <v>12740083</v>
      </c>
      <c r="AT46">
        <v>2043.1343050002999</v>
      </c>
      <c r="AU46">
        <v>3600</v>
      </c>
    </row>
    <row r="47" spans="1:47" x14ac:dyDescent="0.35">
      <c r="A47">
        <f t="shared" si="0"/>
        <v>8.5234337334370824</v>
      </c>
      <c r="B47">
        <f t="shared" si="1"/>
        <v>0.7013780541975756</v>
      </c>
      <c r="C47">
        <f t="shared" si="2"/>
        <v>0.69150448797528175</v>
      </c>
      <c r="D47">
        <f t="shared" si="3"/>
        <v>0</v>
      </c>
      <c r="E47">
        <f t="shared" si="4"/>
        <v>1</v>
      </c>
      <c r="F47">
        <f t="shared" si="5"/>
        <v>0.69150448797528175</v>
      </c>
      <c r="G47" t="s">
        <v>43</v>
      </c>
      <c r="H47">
        <v>5</v>
      </c>
      <c r="I47">
        <v>61</v>
      </c>
      <c r="J47">
        <v>270</v>
      </c>
      <c r="K47">
        <v>3</v>
      </c>
      <c r="L47">
        <v>6</v>
      </c>
      <c r="M47">
        <v>45</v>
      </c>
      <c r="N47" t="s">
        <v>20</v>
      </c>
      <c r="O47" t="b">
        <v>1</v>
      </c>
      <c r="P47">
        <v>0.5</v>
      </c>
      <c r="Q47" t="b">
        <v>0</v>
      </c>
      <c r="R47">
        <v>3353.4047347800602</v>
      </c>
      <c r="S47">
        <v>3639.2299651629801</v>
      </c>
      <c r="T47">
        <v>3376.6225464385002</v>
      </c>
      <c r="U47">
        <v>3376.5936790210399</v>
      </c>
      <c r="V47">
        <v>0</v>
      </c>
      <c r="W47">
        <v>84149494</v>
      </c>
      <c r="X47">
        <v>3600.1485400199799</v>
      </c>
      <c r="Y47">
        <v>3600</v>
      </c>
      <c r="AC47" t="s">
        <v>43</v>
      </c>
      <c r="AD47">
        <v>5</v>
      </c>
      <c r="AE47">
        <v>61</v>
      </c>
      <c r="AF47">
        <v>270</v>
      </c>
      <c r="AG47">
        <v>3</v>
      </c>
      <c r="AH47">
        <v>6</v>
      </c>
      <c r="AI47">
        <v>45</v>
      </c>
      <c r="AJ47" t="s">
        <v>20</v>
      </c>
      <c r="AK47" t="b">
        <v>1</v>
      </c>
      <c r="AL47">
        <v>0.5</v>
      </c>
      <c r="AM47" t="b">
        <v>1</v>
      </c>
      <c r="AN47">
        <v>3353.4047347800602</v>
      </c>
      <c r="AO47">
        <v>3376.9247796582299</v>
      </c>
      <c r="AP47">
        <v>3376.5936790210399</v>
      </c>
      <c r="AQ47">
        <v>3376.5936790210399</v>
      </c>
      <c r="AR47">
        <v>0</v>
      </c>
      <c r="AS47">
        <v>4930507</v>
      </c>
      <c r="AT47">
        <v>951.77786803245499</v>
      </c>
      <c r="AU47">
        <v>3600</v>
      </c>
    </row>
    <row r="48" spans="1:47" x14ac:dyDescent="0.35">
      <c r="A48">
        <f t="shared" si="0"/>
        <v>7.0237078121393726</v>
      </c>
      <c r="B48">
        <f t="shared" si="1"/>
        <v>0.90116683767217831</v>
      </c>
      <c r="C48">
        <f t="shared" si="2"/>
        <v>0</v>
      </c>
      <c r="D48">
        <f t="shared" si="3"/>
        <v>0</v>
      </c>
      <c r="E48">
        <f t="shared" si="4"/>
        <v>0</v>
      </c>
      <c r="G48" t="s">
        <v>43</v>
      </c>
      <c r="H48">
        <v>5</v>
      </c>
      <c r="I48">
        <v>61</v>
      </c>
      <c r="J48">
        <v>270</v>
      </c>
      <c r="K48">
        <v>3</v>
      </c>
      <c r="L48">
        <v>6</v>
      </c>
      <c r="M48">
        <v>46</v>
      </c>
      <c r="N48" t="s">
        <v>20</v>
      </c>
      <c r="O48" t="b">
        <v>1</v>
      </c>
      <c r="P48">
        <v>0.5</v>
      </c>
      <c r="Q48" t="b">
        <v>0</v>
      </c>
      <c r="R48">
        <v>3327.1774624086902</v>
      </c>
      <c r="S48">
        <v>3560.8686857596299</v>
      </c>
      <c r="T48">
        <v>3327.1774624086902</v>
      </c>
      <c r="U48">
        <v>3327.1774624086902</v>
      </c>
      <c r="V48">
        <v>0</v>
      </c>
      <c r="W48">
        <v>87657218</v>
      </c>
      <c r="X48">
        <v>3600.03189706802</v>
      </c>
      <c r="Y48">
        <v>3600</v>
      </c>
      <c r="AC48" t="s">
        <v>43</v>
      </c>
      <c r="AD48">
        <v>5</v>
      </c>
      <c r="AE48">
        <v>61</v>
      </c>
      <c r="AF48">
        <v>270</v>
      </c>
      <c r="AG48">
        <v>3</v>
      </c>
      <c r="AH48">
        <v>6</v>
      </c>
      <c r="AI48">
        <v>46</v>
      </c>
      <c r="AJ48" t="s">
        <v>20</v>
      </c>
      <c r="AK48" t="b">
        <v>1</v>
      </c>
      <c r="AL48">
        <v>0.5</v>
      </c>
      <c r="AM48" t="b">
        <v>1</v>
      </c>
      <c r="AN48">
        <v>3327.1774624086902</v>
      </c>
      <c r="AO48">
        <v>3357.16088233042</v>
      </c>
      <c r="AP48">
        <v>3327.18741121429</v>
      </c>
      <c r="AQ48">
        <v>3327.1774624086902</v>
      </c>
      <c r="AR48">
        <v>0</v>
      </c>
      <c r="AS48">
        <v>10393982</v>
      </c>
      <c r="AT48">
        <v>3603.3132050037302</v>
      </c>
      <c r="AU48">
        <v>3600</v>
      </c>
    </row>
    <row r="49" spans="1:47" x14ac:dyDescent="0.35">
      <c r="A49">
        <f t="shared" si="0"/>
        <v>8.6561918815620285</v>
      </c>
      <c r="B49">
        <f t="shared" si="1"/>
        <v>0.82116073620691532</v>
      </c>
      <c r="C49">
        <f t="shared" si="2"/>
        <v>0.19880727275366339</v>
      </c>
      <c r="D49">
        <f t="shared" si="3"/>
        <v>0</v>
      </c>
      <c r="E49">
        <f t="shared" si="4"/>
        <v>0</v>
      </c>
      <c r="G49" t="s">
        <v>43</v>
      </c>
      <c r="H49">
        <v>5</v>
      </c>
      <c r="I49">
        <v>61</v>
      </c>
      <c r="J49">
        <v>270</v>
      </c>
      <c r="K49">
        <v>3</v>
      </c>
      <c r="L49">
        <v>6</v>
      </c>
      <c r="M49">
        <v>47</v>
      </c>
      <c r="N49" t="s">
        <v>20</v>
      </c>
      <c r="O49" t="b">
        <v>1</v>
      </c>
      <c r="P49">
        <v>0.5</v>
      </c>
      <c r="Q49" t="b">
        <v>0</v>
      </c>
      <c r="R49">
        <v>3348.12042989869</v>
      </c>
      <c r="S49">
        <v>3637.9401587365001</v>
      </c>
      <c r="T49">
        <v>3354.7846538142499</v>
      </c>
      <c r="U49">
        <v>3354.7767368138798</v>
      </c>
      <c r="V49">
        <v>0</v>
      </c>
      <c r="W49">
        <v>83526268</v>
      </c>
      <c r="X49">
        <v>3600.1337289810099</v>
      </c>
      <c r="Y49">
        <v>3600</v>
      </c>
      <c r="AC49" t="s">
        <v>43</v>
      </c>
      <c r="AD49">
        <v>5</v>
      </c>
      <c r="AE49">
        <v>61</v>
      </c>
      <c r="AF49">
        <v>270</v>
      </c>
      <c r="AG49">
        <v>3</v>
      </c>
      <c r="AH49">
        <v>6</v>
      </c>
      <c r="AI49">
        <v>47</v>
      </c>
      <c r="AJ49" t="s">
        <v>20</v>
      </c>
      <c r="AK49" t="b">
        <v>1</v>
      </c>
      <c r="AL49">
        <v>0.5</v>
      </c>
      <c r="AM49" t="b">
        <v>1</v>
      </c>
      <c r="AN49">
        <v>3348.12042989869</v>
      </c>
      <c r="AO49">
        <v>3375.6138802699402</v>
      </c>
      <c r="AP49">
        <v>3354.7767368138798</v>
      </c>
      <c r="AQ49">
        <v>3354.7767368138798</v>
      </c>
      <c r="AR49">
        <v>0</v>
      </c>
      <c r="AS49">
        <v>9598250</v>
      </c>
      <c r="AT49">
        <v>3600.2656688690099</v>
      </c>
      <c r="AU49">
        <v>3600</v>
      </c>
    </row>
    <row r="50" spans="1:47" x14ac:dyDescent="0.35">
      <c r="A50">
        <f t="shared" si="0"/>
        <v>9.7196637746658716</v>
      </c>
      <c r="B50">
        <f t="shared" si="1"/>
        <v>2.0582161093520974</v>
      </c>
      <c r="C50">
        <f t="shared" si="2"/>
        <v>6.405561664939699E-2</v>
      </c>
      <c r="D50">
        <f t="shared" si="3"/>
        <v>0</v>
      </c>
      <c r="E50">
        <f t="shared" si="4"/>
        <v>0</v>
      </c>
      <c r="G50" t="s">
        <v>43</v>
      </c>
      <c r="H50">
        <v>5</v>
      </c>
      <c r="I50">
        <v>61</v>
      </c>
      <c r="J50">
        <v>270</v>
      </c>
      <c r="K50">
        <v>3</v>
      </c>
      <c r="L50">
        <v>6</v>
      </c>
      <c r="M50">
        <v>48</v>
      </c>
      <c r="N50" t="s">
        <v>20</v>
      </c>
      <c r="O50" t="b">
        <v>1</v>
      </c>
      <c r="P50">
        <v>0.5</v>
      </c>
      <c r="Q50" t="b">
        <v>0</v>
      </c>
      <c r="R50">
        <v>3288.2915603932702</v>
      </c>
      <c r="S50">
        <v>3607.90244399421</v>
      </c>
      <c r="T50">
        <v>3290.4699620982701</v>
      </c>
      <c r="U50">
        <v>3290.3978958295102</v>
      </c>
      <c r="V50">
        <v>0</v>
      </c>
      <c r="W50">
        <v>75108008</v>
      </c>
      <c r="X50">
        <v>3600.08189296722</v>
      </c>
      <c r="Y50">
        <v>3600</v>
      </c>
      <c r="AC50" t="s">
        <v>43</v>
      </c>
      <c r="AD50">
        <v>5</v>
      </c>
      <c r="AE50">
        <v>61</v>
      </c>
      <c r="AF50">
        <v>270</v>
      </c>
      <c r="AG50">
        <v>3</v>
      </c>
      <c r="AH50">
        <v>6</v>
      </c>
      <c r="AI50">
        <v>48</v>
      </c>
      <c r="AJ50" t="s">
        <v>20</v>
      </c>
      <c r="AK50" t="b">
        <v>1</v>
      </c>
      <c r="AL50">
        <v>0.5</v>
      </c>
      <c r="AM50" t="b">
        <v>1</v>
      </c>
      <c r="AN50">
        <v>3288.2915603932702</v>
      </c>
      <c r="AO50">
        <v>3355.9717070117499</v>
      </c>
      <c r="AP50">
        <v>3290.3978958295102</v>
      </c>
      <c r="AQ50">
        <v>3290.3978958295102</v>
      </c>
      <c r="AR50">
        <v>0</v>
      </c>
      <c r="AS50">
        <v>12408222</v>
      </c>
      <c r="AT50">
        <v>3601.77296996116</v>
      </c>
      <c r="AU50">
        <v>3600</v>
      </c>
    </row>
    <row r="51" spans="1:47" x14ac:dyDescent="0.35">
      <c r="A51">
        <f t="shared" si="0"/>
        <v>9.2517138279254851</v>
      </c>
      <c r="B51">
        <f t="shared" si="1"/>
        <v>1.1162473762598728</v>
      </c>
      <c r="C51">
        <f t="shared" si="2"/>
        <v>0.90768174056132778</v>
      </c>
      <c r="D51">
        <f t="shared" si="3"/>
        <v>0</v>
      </c>
      <c r="E51">
        <f t="shared" si="4"/>
        <v>0</v>
      </c>
      <c r="G51" t="s">
        <v>43</v>
      </c>
      <c r="H51">
        <v>5</v>
      </c>
      <c r="I51">
        <v>61</v>
      </c>
      <c r="J51">
        <v>270</v>
      </c>
      <c r="K51">
        <v>3</v>
      </c>
      <c r="L51">
        <v>6</v>
      </c>
      <c r="M51">
        <v>49</v>
      </c>
      <c r="N51" t="s">
        <v>20</v>
      </c>
      <c r="O51" t="b">
        <v>1</v>
      </c>
      <c r="P51">
        <v>0.5</v>
      </c>
      <c r="Q51" t="b">
        <v>0</v>
      </c>
      <c r="R51">
        <v>3279.2426047287099</v>
      </c>
      <c r="S51">
        <v>3582.6287462416199</v>
      </c>
      <c r="T51">
        <v>3309.00858579346</v>
      </c>
      <c r="U51">
        <v>3309.0076910805401</v>
      </c>
      <c r="V51">
        <v>0</v>
      </c>
      <c r="W51">
        <v>80396844</v>
      </c>
      <c r="X51">
        <v>3600.1058261394501</v>
      </c>
      <c r="Y51">
        <v>3600</v>
      </c>
      <c r="AC51" t="s">
        <v>43</v>
      </c>
      <c r="AD51">
        <v>5</v>
      </c>
      <c r="AE51">
        <v>61</v>
      </c>
      <c r="AF51">
        <v>270</v>
      </c>
      <c r="AG51">
        <v>3</v>
      </c>
      <c r="AH51">
        <v>6</v>
      </c>
      <c r="AI51">
        <v>49</v>
      </c>
      <c r="AJ51" t="s">
        <v>20</v>
      </c>
      <c r="AK51" t="b">
        <v>1</v>
      </c>
      <c r="AL51">
        <v>0.5</v>
      </c>
      <c r="AM51" t="b">
        <v>1</v>
      </c>
      <c r="AN51">
        <v>3279.2426047287099</v>
      </c>
      <c r="AO51">
        <v>3315.8470642651901</v>
      </c>
      <c r="AP51">
        <v>3309.0076910805401</v>
      </c>
      <c r="AQ51">
        <v>3309.0076910805401</v>
      </c>
      <c r="AR51">
        <v>0</v>
      </c>
      <c r="AS51">
        <v>15360914</v>
      </c>
      <c r="AT51">
        <v>3600.5070869922602</v>
      </c>
      <c r="AU51">
        <v>3600</v>
      </c>
    </row>
    <row r="53" spans="1:47" x14ac:dyDescent="0.35">
      <c r="A53" s="1">
        <f t="shared" ref="A53:D53" si="6">AVERAGE(A2:A51)</f>
        <v>9.3871072922555303</v>
      </c>
      <c r="B53" s="1">
        <f t="shared" si="6"/>
        <v>1.6579297186976487</v>
      </c>
      <c r="C53" s="1">
        <f t="shared" si="6"/>
        <v>0.38790746994929409</v>
      </c>
      <c r="D53" s="1">
        <f t="shared" si="6"/>
        <v>0</v>
      </c>
      <c r="E53" s="1">
        <f>AVERAGE(E2:E51)</f>
        <v>0.16</v>
      </c>
      <c r="F53" s="2">
        <f>AVERAGE(F2:F51)</f>
        <v>0.5172255251344402</v>
      </c>
      <c r="G53" t="s">
        <v>25</v>
      </c>
    </row>
    <row r="54" spans="1:47" x14ac:dyDescent="0.35">
      <c r="A54" s="1">
        <f t="shared" ref="A54:D54" si="7">_xlfn.STDEV.S(A2:A51)/SQRT(COUNT(A2:A51))</f>
        <v>0.18308753309015413</v>
      </c>
      <c r="B54" s="1">
        <f t="shared" si="7"/>
        <v>0.16542406659317446</v>
      </c>
      <c r="C54" s="1">
        <f t="shared" si="7"/>
        <v>5.3243393756797146E-2</v>
      </c>
      <c r="D54" s="1">
        <f t="shared" si="7"/>
        <v>0</v>
      </c>
      <c r="E54" s="1">
        <f>_xlfn.STDEV.S(E2:E51)/SQRT(COUNT(E2:E51))</f>
        <v>5.2372293656638168E-2</v>
      </c>
      <c r="F54" s="2">
        <f>_xlfn.STDEV.S(F2:F51)/SQRT(COUNT(F2:F51))</f>
        <v>0.1679522175524156</v>
      </c>
      <c r="G54" t="s">
        <v>26</v>
      </c>
    </row>
    <row r="55" spans="1:47" x14ac:dyDescent="0.35">
      <c r="A55" s="1">
        <f t="shared" ref="A55:D55" si="8">MAX(A2:A51)</f>
        <v>12.076690679354014</v>
      </c>
      <c r="B55" s="1">
        <f t="shared" si="8"/>
        <v>5.3241717621368938</v>
      </c>
      <c r="C55" s="1">
        <f t="shared" si="8"/>
        <v>1.3015942879738664</v>
      </c>
      <c r="D55" s="1">
        <f t="shared" si="8"/>
        <v>0</v>
      </c>
      <c r="E55" s="1">
        <f>MAX(E2:E51)</f>
        <v>1</v>
      </c>
      <c r="F55" s="2">
        <f>MAX(F2:F51)</f>
        <v>1.1561103218694908</v>
      </c>
      <c r="G55" t="s">
        <v>27</v>
      </c>
    </row>
    <row r="56" spans="1:47" x14ac:dyDescent="0.35">
      <c r="A56" s="1">
        <f t="shared" ref="A56:D56" si="9">MIN(A2:A51)</f>
        <v>6.7866303096727529</v>
      </c>
      <c r="B56" s="1">
        <f t="shared" si="9"/>
        <v>8.896658628779636E-3</v>
      </c>
      <c r="C56" s="1">
        <f t="shared" si="9"/>
        <v>0</v>
      </c>
      <c r="D56" s="1">
        <f t="shared" si="9"/>
        <v>0</v>
      </c>
      <c r="E56" s="1">
        <f>MIN(E2:E51)</f>
        <v>0</v>
      </c>
      <c r="F56" s="2">
        <f>MIN(F2:F51)</f>
        <v>0</v>
      </c>
      <c r="G56" t="s">
        <v>28</v>
      </c>
    </row>
    <row r="57" spans="1:47" x14ac:dyDescent="0.35">
      <c r="A57" s="1">
        <f t="shared" ref="A57:D57" si="10">SUM(A2:A51)</f>
        <v>469.35536461277655</v>
      </c>
      <c r="B57" s="1">
        <f t="shared" si="10"/>
        <v>82.896485934882435</v>
      </c>
      <c r="C57" s="1">
        <f t="shared" si="10"/>
        <v>19.395373497464703</v>
      </c>
      <c r="D57" s="1">
        <f t="shared" si="10"/>
        <v>0</v>
      </c>
      <c r="E57" s="1">
        <f>SUM(E2:E51)</f>
        <v>8</v>
      </c>
      <c r="F57" s="2">
        <f>SUM(F2:F51)</f>
        <v>4.1378042010755216</v>
      </c>
      <c r="G5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123A-51BE-4842-A7EC-6E81D350AD7F}">
  <dimension ref="A1:AU57"/>
  <sheetViews>
    <sheetView workbookViewId="0">
      <pane ySplit="1" topLeftCell="A50" activePane="bottomLeft" state="frozen"/>
      <selection pane="bottomLeft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19.026798709964119</v>
      </c>
      <c r="B2">
        <f>(AO2-AN2)/AN2*100</f>
        <v>12.558844008364565</v>
      </c>
      <c r="C2">
        <f>(AQ2-AN2)/AN2*100</f>
        <v>0</v>
      </c>
      <c r="D2">
        <f>IF(X2&lt;Y2,1,0)</f>
        <v>0</v>
      </c>
      <c r="E2">
        <f>IF(AT2&lt;AU2,1,0)</f>
        <v>0</v>
      </c>
      <c r="G2" t="s">
        <v>41</v>
      </c>
      <c r="H2">
        <v>3</v>
      </c>
      <c r="I2">
        <v>150</v>
      </c>
      <c r="J2">
        <v>1693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7992.9969937961696</v>
      </c>
      <c r="S2">
        <v>9513.80844269925</v>
      </c>
      <c r="T2">
        <v>7993.0552363795696</v>
      </c>
      <c r="U2">
        <v>7992.9969937961696</v>
      </c>
      <c r="V2">
        <v>0</v>
      </c>
      <c r="W2">
        <v>5232788</v>
      </c>
      <c r="X2">
        <v>3600.122975111</v>
      </c>
      <c r="Y2">
        <v>3600</v>
      </c>
      <c r="AC2" t="s">
        <v>41</v>
      </c>
      <c r="AD2">
        <v>3</v>
      </c>
      <c r="AE2">
        <v>150</v>
      </c>
      <c r="AF2">
        <v>1693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7992.9969937961696</v>
      </c>
      <c r="AO2">
        <v>8996.8250178402996</v>
      </c>
      <c r="AP2">
        <v>7992.9969937961696</v>
      </c>
      <c r="AQ2">
        <v>7992.9969937961696</v>
      </c>
      <c r="AR2">
        <v>0</v>
      </c>
      <c r="AS2">
        <v>318118</v>
      </c>
      <c r="AT2">
        <v>3600.0845100879601</v>
      </c>
      <c r="AU2">
        <v>3600</v>
      </c>
    </row>
    <row r="3" spans="1:47" x14ac:dyDescent="0.35">
      <c r="A3">
        <f t="shared" ref="A3:A51" si="0">(-R3+S3)/R3*100</f>
        <v>19.274794749436182</v>
      </c>
      <c r="B3">
        <f t="shared" ref="B3:B51" si="1">(AO3-AN3)/AN3*100</f>
        <v>13.188875113339234</v>
      </c>
      <c r="C3">
        <f t="shared" ref="C3:C51" si="2">(AQ3-AN3)/AN3*100</f>
        <v>0</v>
      </c>
      <c r="D3">
        <f t="shared" ref="D3:D51" si="3">IF(X3&lt;Y3,1,0)</f>
        <v>0</v>
      </c>
      <c r="E3">
        <f t="shared" ref="E3:E51" si="4">IF(AT3&lt;AU3,1,0)</f>
        <v>0</v>
      </c>
      <c r="G3" t="s">
        <v>41</v>
      </c>
      <c r="H3">
        <v>3</v>
      </c>
      <c r="I3">
        <v>150</v>
      </c>
      <c r="J3">
        <v>1693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8144.0194706848797</v>
      </c>
      <c r="S3">
        <v>9713.7625080135094</v>
      </c>
      <c r="T3">
        <v>8144.0668687892403</v>
      </c>
      <c r="U3">
        <v>8144.0194706848797</v>
      </c>
      <c r="V3">
        <v>0</v>
      </c>
      <c r="W3">
        <v>5170749</v>
      </c>
      <c r="X3">
        <v>3600.1011950969601</v>
      </c>
      <c r="Y3">
        <v>3600</v>
      </c>
      <c r="AC3" t="s">
        <v>41</v>
      </c>
      <c r="AD3">
        <v>3</v>
      </c>
      <c r="AE3">
        <v>150</v>
      </c>
      <c r="AF3">
        <v>1693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8144.0194706848797</v>
      </c>
      <c r="AO3">
        <v>9218.1240278795394</v>
      </c>
      <c r="AP3">
        <v>8144.0502290680797</v>
      </c>
      <c r="AQ3">
        <v>8144.0194706848797</v>
      </c>
      <c r="AR3">
        <v>0</v>
      </c>
      <c r="AS3">
        <v>237470</v>
      </c>
      <c r="AT3">
        <v>3600.0767052173601</v>
      </c>
      <c r="AU3">
        <v>3600</v>
      </c>
    </row>
    <row r="4" spans="1:47" x14ac:dyDescent="0.35">
      <c r="A4">
        <f t="shared" si="0"/>
        <v>18.713439406999861</v>
      </c>
      <c r="B4">
        <f t="shared" si="1"/>
        <v>13.790218155003799</v>
      </c>
      <c r="C4">
        <f t="shared" si="2"/>
        <v>0</v>
      </c>
      <c r="D4">
        <f t="shared" si="3"/>
        <v>0</v>
      </c>
      <c r="E4">
        <f t="shared" si="4"/>
        <v>0</v>
      </c>
      <c r="G4" t="s">
        <v>41</v>
      </c>
      <c r="H4">
        <v>3</v>
      </c>
      <c r="I4">
        <v>150</v>
      </c>
      <c r="J4">
        <v>1693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8189.5043535813402</v>
      </c>
      <c r="S4">
        <v>9722.0422885223998</v>
      </c>
      <c r="T4">
        <v>8215.5130930485393</v>
      </c>
      <c r="U4">
        <v>8215.4766009532304</v>
      </c>
      <c r="V4">
        <v>0</v>
      </c>
      <c r="W4">
        <v>3879600</v>
      </c>
      <c r="X4">
        <v>3600.1872630119301</v>
      </c>
      <c r="Y4">
        <v>3600</v>
      </c>
      <c r="AC4" t="s">
        <v>41</v>
      </c>
      <c r="AD4">
        <v>3</v>
      </c>
      <c r="AE4">
        <v>150</v>
      </c>
      <c r="AF4">
        <v>1693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8189.5043535813402</v>
      </c>
      <c r="AO4">
        <v>9318.8548697537408</v>
      </c>
      <c r="AP4">
        <v>8189.5593917312099</v>
      </c>
      <c r="AQ4">
        <v>8189.5043535813402</v>
      </c>
      <c r="AR4">
        <v>0</v>
      </c>
      <c r="AS4">
        <v>147151</v>
      </c>
      <c r="AT4">
        <v>3600.0769279003098</v>
      </c>
      <c r="AU4">
        <v>3600</v>
      </c>
    </row>
    <row r="5" spans="1:47" x14ac:dyDescent="0.35">
      <c r="A5">
        <f t="shared" si="0"/>
        <v>17.531966931122021</v>
      </c>
      <c r="B5">
        <f t="shared" si="1"/>
        <v>13.040027833359213</v>
      </c>
      <c r="C5">
        <f t="shared" si="2"/>
        <v>0</v>
      </c>
      <c r="D5">
        <f t="shared" si="3"/>
        <v>0</v>
      </c>
      <c r="E5">
        <f t="shared" si="4"/>
        <v>0</v>
      </c>
      <c r="G5" t="s">
        <v>41</v>
      </c>
      <c r="H5">
        <v>3</v>
      </c>
      <c r="I5">
        <v>150</v>
      </c>
      <c r="J5">
        <v>1693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8152.1431323603401</v>
      </c>
      <c r="S5">
        <v>9581.3741705034899</v>
      </c>
      <c r="T5">
        <v>8152.1701978724604</v>
      </c>
      <c r="U5">
        <v>8152.1431323603401</v>
      </c>
      <c r="V5">
        <v>0</v>
      </c>
      <c r="W5">
        <v>6227233</v>
      </c>
      <c r="X5">
        <v>3600.09476804733</v>
      </c>
      <c r="Y5">
        <v>3600</v>
      </c>
      <c r="AC5" t="s">
        <v>41</v>
      </c>
      <c r="AD5">
        <v>3</v>
      </c>
      <c r="AE5">
        <v>150</v>
      </c>
      <c r="AF5">
        <v>1693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8152.1431323603401</v>
      </c>
      <c r="AO5">
        <v>9215.1848658354102</v>
      </c>
      <c r="AP5">
        <v>8152.1441031083004</v>
      </c>
      <c r="AQ5">
        <v>8152.1431323603401</v>
      </c>
      <c r="AR5">
        <v>0</v>
      </c>
      <c r="AS5">
        <v>344812</v>
      </c>
      <c r="AT5">
        <v>3600.0964949130998</v>
      </c>
      <c r="AU5">
        <v>3600</v>
      </c>
    </row>
    <row r="6" spans="1:47" x14ac:dyDescent="0.35">
      <c r="A6">
        <f t="shared" si="0"/>
        <v>15.594294213919845</v>
      </c>
      <c r="B6">
        <f t="shared" si="1"/>
        <v>11.150564859320298</v>
      </c>
      <c r="C6">
        <f t="shared" si="2"/>
        <v>0</v>
      </c>
      <c r="D6">
        <f t="shared" si="3"/>
        <v>0</v>
      </c>
      <c r="E6">
        <f t="shared" si="4"/>
        <v>0</v>
      </c>
      <c r="G6" t="s">
        <v>41</v>
      </c>
      <c r="H6">
        <v>3</v>
      </c>
      <c r="I6">
        <v>150</v>
      </c>
      <c r="J6">
        <v>1693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8081.0048899123403</v>
      </c>
      <c r="S6">
        <v>9341.1805678865203</v>
      </c>
      <c r="T6">
        <v>8081.0048899123403</v>
      </c>
      <c r="U6">
        <v>8081.0048899123403</v>
      </c>
      <c r="V6">
        <v>0</v>
      </c>
      <c r="W6">
        <v>4176196</v>
      </c>
      <c r="X6">
        <v>3600.12276291847</v>
      </c>
      <c r="Y6">
        <v>3600</v>
      </c>
      <c r="AC6" t="s">
        <v>41</v>
      </c>
      <c r="AD6">
        <v>3</v>
      </c>
      <c r="AE6">
        <v>150</v>
      </c>
      <c r="AF6">
        <v>1693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8081.0048899123403</v>
      </c>
      <c r="AO6">
        <v>8982.0825814468608</v>
      </c>
      <c r="AP6">
        <v>8081.0048899123403</v>
      </c>
      <c r="AQ6">
        <v>8081.0048899123403</v>
      </c>
      <c r="AR6">
        <v>0</v>
      </c>
      <c r="AS6">
        <v>298040</v>
      </c>
      <c r="AT6">
        <v>3600.2661259174301</v>
      </c>
      <c r="AU6">
        <v>3600</v>
      </c>
    </row>
    <row r="7" spans="1:47" x14ac:dyDescent="0.35">
      <c r="A7">
        <f t="shared" si="0"/>
        <v>18.849808548646514</v>
      </c>
      <c r="B7">
        <f t="shared" si="1"/>
        <v>11.420575699419585</v>
      </c>
      <c r="C7">
        <f t="shared" si="2"/>
        <v>0</v>
      </c>
      <c r="D7">
        <f t="shared" si="3"/>
        <v>0</v>
      </c>
      <c r="E7">
        <f t="shared" si="4"/>
        <v>0</v>
      </c>
      <c r="G7" t="s">
        <v>41</v>
      </c>
      <c r="H7">
        <v>3</v>
      </c>
      <c r="I7">
        <v>150</v>
      </c>
      <c r="J7">
        <v>1693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8256.4124172438296</v>
      </c>
      <c r="S7">
        <v>9812.7303508809691</v>
      </c>
      <c r="T7">
        <v>8256.52812444962</v>
      </c>
      <c r="U7">
        <v>8256.4124172438296</v>
      </c>
      <c r="V7">
        <v>0</v>
      </c>
      <c r="W7">
        <v>5191056</v>
      </c>
      <c r="X7">
        <v>3600.1198480129201</v>
      </c>
      <c r="Y7">
        <v>3600</v>
      </c>
      <c r="AC7" t="s">
        <v>41</v>
      </c>
      <c r="AD7">
        <v>3</v>
      </c>
      <c r="AE7">
        <v>150</v>
      </c>
      <c r="AF7">
        <v>1693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8256.4124172438296</v>
      </c>
      <c r="AO7">
        <v>9199.3422474114395</v>
      </c>
      <c r="AP7">
        <v>8256.4124172438296</v>
      </c>
      <c r="AQ7">
        <v>8256.4124172438296</v>
      </c>
      <c r="AR7">
        <v>0</v>
      </c>
      <c r="AS7">
        <v>307676</v>
      </c>
      <c r="AT7">
        <v>3600.23108005523</v>
      </c>
      <c r="AU7">
        <v>3600</v>
      </c>
    </row>
    <row r="8" spans="1:47" x14ac:dyDescent="0.35">
      <c r="A8">
        <f t="shared" si="0"/>
        <v>16.999254670738498</v>
      </c>
      <c r="B8">
        <f t="shared" si="1"/>
        <v>12.804267023298765</v>
      </c>
      <c r="C8">
        <f t="shared" si="2"/>
        <v>0</v>
      </c>
      <c r="D8">
        <f t="shared" si="3"/>
        <v>0</v>
      </c>
      <c r="E8">
        <f t="shared" si="4"/>
        <v>0</v>
      </c>
      <c r="G8" t="s">
        <v>41</v>
      </c>
      <c r="H8">
        <v>3</v>
      </c>
      <c r="I8">
        <v>150</v>
      </c>
      <c r="J8">
        <v>1693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8076.7703814414499</v>
      </c>
      <c r="S8">
        <v>9449.7611477534592</v>
      </c>
      <c r="T8">
        <v>8076.8117422595997</v>
      </c>
      <c r="U8">
        <v>8076.7703814414499</v>
      </c>
      <c r="V8">
        <v>0</v>
      </c>
      <c r="W8">
        <v>5302844</v>
      </c>
      <c r="X8">
        <v>3600.0946068763701</v>
      </c>
      <c r="Y8">
        <v>3600</v>
      </c>
      <c r="AC8" t="s">
        <v>41</v>
      </c>
      <c r="AD8">
        <v>3</v>
      </c>
      <c r="AE8">
        <v>150</v>
      </c>
      <c r="AF8">
        <v>1693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8076.7703814414499</v>
      </c>
      <c r="AO8">
        <v>9110.9416279399193</v>
      </c>
      <c r="AP8">
        <v>8076.7950587692903</v>
      </c>
      <c r="AQ8">
        <v>8076.7703814414499</v>
      </c>
      <c r="AR8">
        <v>0</v>
      </c>
      <c r="AS8">
        <v>303070</v>
      </c>
      <c r="AT8">
        <v>3600.08228111267</v>
      </c>
      <c r="AU8">
        <v>3600</v>
      </c>
    </row>
    <row r="9" spans="1:47" x14ac:dyDescent="0.35">
      <c r="A9">
        <f t="shared" si="0"/>
        <v>19.369735903930447</v>
      </c>
      <c r="B9">
        <f t="shared" si="1"/>
        <v>15.055230885140611</v>
      </c>
      <c r="C9">
        <f t="shared" si="2"/>
        <v>7.1563731400650671E-2</v>
      </c>
      <c r="D9">
        <f t="shared" si="3"/>
        <v>0</v>
      </c>
      <c r="E9">
        <f t="shared" si="4"/>
        <v>0</v>
      </c>
      <c r="G9" t="s">
        <v>41</v>
      </c>
      <c r="H9">
        <v>3</v>
      </c>
      <c r="I9">
        <v>150</v>
      </c>
      <c r="J9">
        <v>1693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8073.1713207701396</v>
      </c>
      <c r="S9">
        <v>9636.9232846751693</v>
      </c>
      <c r="T9">
        <v>8078.9809559164996</v>
      </c>
      <c r="U9">
        <v>8078.9487834096499</v>
      </c>
      <c r="V9">
        <v>0</v>
      </c>
      <c r="W9">
        <v>5777520</v>
      </c>
      <c r="X9">
        <v>3600.0711479186998</v>
      </c>
      <c r="Y9">
        <v>3600</v>
      </c>
      <c r="AC9" t="s">
        <v>41</v>
      </c>
      <c r="AD9">
        <v>3</v>
      </c>
      <c r="AE9">
        <v>150</v>
      </c>
      <c r="AF9">
        <v>1693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8073.1713207701396</v>
      </c>
      <c r="AO9">
        <v>9288.6059028650398</v>
      </c>
      <c r="AP9">
        <v>8078.9487834096399</v>
      </c>
      <c r="AQ9">
        <v>8078.9487834096499</v>
      </c>
      <c r="AR9">
        <v>0</v>
      </c>
      <c r="AS9">
        <v>230983</v>
      </c>
      <c r="AT9">
        <v>3600.4414980411502</v>
      </c>
      <c r="AU9">
        <v>3600</v>
      </c>
    </row>
    <row r="10" spans="1:47" x14ac:dyDescent="0.35">
      <c r="A10">
        <f t="shared" si="0"/>
        <v>20.623208374706692</v>
      </c>
      <c r="B10">
        <f t="shared" si="1"/>
        <v>11.748938756152778</v>
      </c>
      <c r="C10">
        <f t="shared" si="2"/>
        <v>0</v>
      </c>
      <c r="D10">
        <f t="shared" si="3"/>
        <v>0</v>
      </c>
      <c r="E10">
        <f t="shared" si="4"/>
        <v>0</v>
      </c>
      <c r="G10" t="s">
        <v>41</v>
      </c>
      <c r="H10">
        <v>3</v>
      </c>
      <c r="I10">
        <v>150</v>
      </c>
      <c r="J10">
        <v>1693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8061.7028354258</v>
      </c>
      <c r="S10">
        <v>9724.2846097253005</v>
      </c>
      <c r="T10">
        <v>8061.7449606621203</v>
      </c>
      <c r="U10">
        <v>8061.7028354258</v>
      </c>
      <c r="V10">
        <v>0</v>
      </c>
      <c r="W10">
        <v>4816393</v>
      </c>
      <c r="X10">
        <v>3600.1072888374301</v>
      </c>
      <c r="Y10">
        <v>3600</v>
      </c>
      <c r="AC10" t="s">
        <v>41</v>
      </c>
      <c r="AD10">
        <v>3</v>
      </c>
      <c r="AE10">
        <v>150</v>
      </c>
      <c r="AF10">
        <v>1693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8061.7028354258</v>
      </c>
      <c r="AO10">
        <v>9008.8673642630092</v>
      </c>
      <c r="AP10">
        <v>8061.7028354258</v>
      </c>
      <c r="AQ10">
        <v>8061.7028354258</v>
      </c>
      <c r="AR10">
        <v>0</v>
      </c>
      <c r="AS10">
        <v>244376</v>
      </c>
      <c r="AT10">
        <v>3600.1157021522499</v>
      </c>
      <c r="AU10">
        <v>3600</v>
      </c>
    </row>
    <row r="11" spans="1:47" x14ac:dyDescent="0.35">
      <c r="A11">
        <f t="shared" si="0"/>
        <v>19.225442221944551</v>
      </c>
      <c r="B11">
        <f t="shared" si="1"/>
        <v>12.809187346751393</v>
      </c>
      <c r="C11">
        <f t="shared" si="2"/>
        <v>1.2579244758915371E-2</v>
      </c>
      <c r="D11">
        <f t="shared" si="3"/>
        <v>0</v>
      </c>
      <c r="E11">
        <f t="shared" si="4"/>
        <v>0</v>
      </c>
      <c r="G11" t="s">
        <v>41</v>
      </c>
      <c r="H11">
        <v>3</v>
      </c>
      <c r="I11">
        <v>150</v>
      </c>
      <c r="J11">
        <v>1693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8134.5126118522103</v>
      </c>
      <c r="S11">
        <v>9698.4086340806498</v>
      </c>
      <c r="T11">
        <v>8135.5555689264402</v>
      </c>
      <c r="U11">
        <v>8135.5358721036</v>
      </c>
      <c r="V11">
        <v>0</v>
      </c>
      <c r="W11">
        <v>5443867</v>
      </c>
      <c r="X11">
        <v>3600.1652791500001</v>
      </c>
      <c r="Y11">
        <v>3600</v>
      </c>
      <c r="AC11" t="s">
        <v>41</v>
      </c>
      <c r="AD11">
        <v>3</v>
      </c>
      <c r="AE11">
        <v>150</v>
      </c>
      <c r="AF11">
        <v>1693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8134.5126118522103</v>
      </c>
      <c r="AO11">
        <v>9176.4775720494799</v>
      </c>
      <c r="AP11">
        <v>8135.53587210361</v>
      </c>
      <c r="AQ11">
        <v>8135.5358721036</v>
      </c>
      <c r="AR11">
        <v>0</v>
      </c>
      <c r="AS11">
        <v>350972</v>
      </c>
      <c r="AT11">
        <v>3600.2335321903201</v>
      </c>
      <c r="AU11">
        <v>3600</v>
      </c>
    </row>
    <row r="12" spans="1:47" x14ac:dyDescent="0.35">
      <c r="A12">
        <f t="shared" si="0"/>
        <v>19.09628519988873</v>
      </c>
      <c r="B12">
        <f t="shared" si="1"/>
        <v>12.616508506307964</v>
      </c>
      <c r="C12">
        <f t="shared" si="2"/>
        <v>0</v>
      </c>
      <c r="D12">
        <f t="shared" si="3"/>
        <v>0</v>
      </c>
      <c r="E12">
        <f t="shared" si="4"/>
        <v>0</v>
      </c>
      <c r="G12" t="s">
        <v>41</v>
      </c>
      <c r="H12">
        <v>3</v>
      </c>
      <c r="I12">
        <v>150</v>
      </c>
      <c r="J12">
        <v>1693</v>
      </c>
      <c r="K12">
        <v>3</v>
      </c>
      <c r="L12">
        <v>6</v>
      </c>
      <c r="M12">
        <v>10</v>
      </c>
      <c r="N12" t="s">
        <v>20</v>
      </c>
      <c r="O12" t="b">
        <v>1</v>
      </c>
      <c r="P12">
        <v>0.5</v>
      </c>
      <c r="Q12" t="b">
        <v>0</v>
      </c>
      <c r="R12">
        <v>8035.8731183013097</v>
      </c>
      <c r="S12">
        <v>9570.4263672733196</v>
      </c>
      <c r="T12">
        <v>8035.8951058422699</v>
      </c>
      <c r="U12">
        <v>8035.8731183013097</v>
      </c>
      <c r="V12">
        <v>0</v>
      </c>
      <c r="W12">
        <v>4701448</v>
      </c>
      <c r="X12">
        <v>3600.0884721279099</v>
      </c>
      <c r="Y12">
        <v>3600</v>
      </c>
      <c r="AC12" t="s">
        <v>41</v>
      </c>
      <c r="AD12">
        <v>3</v>
      </c>
      <c r="AE12">
        <v>150</v>
      </c>
      <c r="AF12">
        <v>1693</v>
      </c>
      <c r="AG12">
        <v>3</v>
      </c>
      <c r="AH12">
        <v>6</v>
      </c>
      <c r="AI12">
        <v>10</v>
      </c>
      <c r="AJ12" t="s">
        <v>20</v>
      </c>
      <c r="AK12" t="b">
        <v>1</v>
      </c>
      <c r="AL12">
        <v>0.5</v>
      </c>
      <c r="AM12" t="b">
        <v>1</v>
      </c>
      <c r="AN12">
        <v>8035.8731183013097</v>
      </c>
      <c r="AO12">
        <v>9049.7197338279093</v>
      </c>
      <c r="AP12">
        <v>8035.8731183012997</v>
      </c>
      <c r="AQ12">
        <v>8035.8731183013097</v>
      </c>
      <c r="AR12">
        <v>0</v>
      </c>
      <c r="AS12">
        <v>239078</v>
      </c>
      <c r="AT12">
        <v>3600.2839119434302</v>
      </c>
      <c r="AU12">
        <v>3600</v>
      </c>
    </row>
    <row r="13" spans="1:47" x14ac:dyDescent="0.35">
      <c r="A13">
        <f t="shared" si="0"/>
        <v>16.718541422974926</v>
      </c>
      <c r="B13">
        <f t="shared" si="1"/>
        <v>11.497928051796105</v>
      </c>
      <c r="C13">
        <f t="shared" si="2"/>
        <v>0</v>
      </c>
      <c r="D13">
        <f t="shared" si="3"/>
        <v>0</v>
      </c>
      <c r="E13">
        <f t="shared" si="4"/>
        <v>0</v>
      </c>
      <c r="G13" t="s">
        <v>41</v>
      </c>
      <c r="H13">
        <v>3</v>
      </c>
      <c r="I13">
        <v>150</v>
      </c>
      <c r="J13">
        <v>1693</v>
      </c>
      <c r="K13">
        <v>3</v>
      </c>
      <c r="L13">
        <v>6</v>
      </c>
      <c r="M13">
        <v>11</v>
      </c>
      <c r="N13" t="s">
        <v>20</v>
      </c>
      <c r="O13" t="b">
        <v>1</v>
      </c>
      <c r="P13">
        <v>0.5</v>
      </c>
      <c r="Q13" t="b">
        <v>0</v>
      </c>
      <c r="R13">
        <v>8125.7301357156603</v>
      </c>
      <c r="S13">
        <v>9484.2336943744394</v>
      </c>
      <c r="T13">
        <v>8125.7511945704</v>
      </c>
      <c r="U13">
        <v>8125.7301357156603</v>
      </c>
      <c r="V13">
        <v>0</v>
      </c>
      <c r="W13">
        <v>4288215</v>
      </c>
      <c r="X13">
        <v>3600.1071717739101</v>
      </c>
      <c r="Y13">
        <v>3600</v>
      </c>
      <c r="AC13" t="s">
        <v>41</v>
      </c>
      <c r="AD13">
        <v>3</v>
      </c>
      <c r="AE13">
        <v>150</v>
      </c>
      <c r="AF13">
        <v>1693</v>
      </c>
      <c r="AG13">
        <v>3</v>
      </c>
      <c r="AH13">
        <v>6</v>
      </c>
      <c r="AI13">
        <v>11</v>
      </c>
      <c r="AJ13" t="s">
        <v>20</v>
      </c>
      <c r="AK13" t="b">
        <v>1</v>
      </c>
      <c r="AL13">
        <v>0.5</v>
      </c>
      <c r="AM13" t="b">
        <v>1</v>
      </c>
      <c r="AN13">
        <v>8125.7301357156603</v>
      </c>
      <c r="AO13">
        <v>9060.0207404033608</v>
      </c>
      <c r="AP13">
        <v>8125.7305128222997</v>
      </c>
      <c r="AQ13">
        <v>8125.7301357156603</v>
      </c>
      <c r="AR13">
        <v>0</v>
      </c>
      <c r="AS13">
        <v>206237</v>
      </c>
      <c r="AT13">
        <v>3600.3932421207401</v>
      </c>
      <c r="AU13">
        <v>3600</v>
      </c>
    </row>
    <row r="14" spans="1:47" x14ac:dyDescent="0.35">
      <c r="A14">
        <f t="shared" si="0"/>
        <v>18.598348672945495</v>
      </c>
      <c r="B14">
        <f t="shared" si="1"/>
        <v>15.616053023548703</v>
      </c>
      <c r="C14">
        <f t="shared" si="2"/>
        <v>3.9487589290991019E-2</v>
      </c>
      <c r="D14">
        <f t="shared" si="3"/>
        <v>0</v>
      </c>
      <c r="E14">
        <f t="shared" si="4"/>
        <v>0</v>
      </c>
      <c r="G14" t="s">
        <v>41</v>
      </c>
      <c r="H14">
        <v>3</v>
      </c>
      <c r="I14">
        <v>150</v>
      </c>
      <c r="J14">
        <v>1693</v>
      </c>
      <c r="K14">
        <v>3</v>
      </c>
      <c r="L14">
        <v>6</v>
      </c>
      <c r="M14">
        <v>12</v>
      </c>
      <c r="N14" t="s">
        <v>20</v>
      </c>
      <c r="O14" t="b">
        <v>1</v>
      </c>
      <c r="P14">
        <v>0.5</v>
      </c>
      <c r="Q14" t="b">
        <v>0</v>
      </c>
      <c r="R14">
        <v>8096.2214579911797</v>
      </c>
      <c r="S14">
        <v>9601.9849540822106</v>
      </c>
      <c r="T14">
        <v>8099.4434481888202</v>
      </c>
      <c r="U14">
        <v>8099.4184606686003</v>
      </c>
      <c r="V14">
        <v>0</v>
      </c>
      <c r="W14">
        <v>5232934</v>
      </c>
      <c r="X14">
        <v>3600.0715630054401</v>
      </c>
      <c r="Y14">
        <v>3600</v>
      </c>
      <c r="AC14" t="s">
        <v>41</v>
      </c>
      <c r="AD14">
        <v>3</v>
      </c>
      <c r="AE14">
        <v>150</v>
      </c>
      <c r="AF14">
        <v>1693</v>
      </c>
      <c r="AG14">
        <v>3</v>
      </c>
      <c r="AH14">
        <v>6</v>
      </c>
      <c r="AI14">
        <v>12</v>
      </c>
      <c r="AJ14" t="s">
        <v>20</v>
      </c>
      <c r="AK14" t="b">
        <v>1</v>
      </c>
      <c r="AL14">
        <v>0.5</v>
      </c>
      <c r="AM14" t="b">
        <v>1</v>
      </c>
      <c r="AN14">
        <v>8096.2214579911797</v>
      </c>
      <c r="AO14">
        <v>9360.5316937750104</v>
      </c>
      <c r="AP14">
        <v>8099.4390234885004</v>
      </c>
      <c r="AQ14">
        <v>8099.4184606686003</v>
      </c>
      <c r="AR14">
        <v>0</v>
      </c>
      <c r="AS14">
        <v>317987</v>
      </c>
      <c r="AT14">
        <v>3600.5561909675598</v>
      </c>
      <c r="AU14">
        <v>3600</v>
      </c>
    </row>
    <row r="15" spans="1:47" x14ac:dyDescent="0.35">
      <c r="A15">
        <f t="shared" si="0"/>
        <v>19.464124350382026</v>
      </c>
      <c r="B15">
        <f t="shared" si="1"/>
        <v>11.516052162205899</v>
      </c>
      <c r="C15">
        <f t="shared" si="2"/>
        <v>2.4765335223648474E-2</v>
      </c>
      <c r="D15">
        <f t="shared" si="3"/>
        <v>0</v>
      </c>
      <c r="E15">
        <f t="shared" si="4"/>
        <v>0</v>
      </c>
      <c r="G15" t="s">
        <v>41</v>
      </c>
      <c r="H15">
        <v>3</v>
      </c>
      <c r="I15">
        <v>150</v>
      </c>
      <c r="J15">
        <v>1693</v>
      </c>
      <c r="K15">
        <v>3</v>
      </c>
      <c r="L15">
        <v>6</v>
      </c>
      <c r="M15">
        <v>13</v>
      </c>
      <c r="N15" t="s">
        <v>20</v>
      </c>
      <c r="O15" t="b">
        <v>1</v>
      </c>
      <c r="P15">
        <v>0.5</v>
      </c>
      <c r="Q15" t="b">
        <v>0</v>
      </c>
      <c r="R15">
        <v>8188.0908088960005</v>
      </c>
      <c r="S15">
        <v>9781.8309858617195</v>
      </c>
      <c r="T15">
        <v>8190.1383300612997</v>
      </c>
      <c r="U15">
        <v>8190.1186170332403</v>
      </c>
      <c r="V15">
        <v>0</v>
      </c>
      <c r="W15">
        <v>5172997</v>
      </c>
      <c r="X15">
        <v>3600.1097860336299</v>
      </c>
      <c r="Y15">
        <v>3600</v>
      </c>
      <c r="AC15" t="s">
        <v>41</v>
      </c>
      <c r="AD15">
        <v>3</v>
      </c>
      <c r="AE15">
        <v>150</v>
      </c>
      <c r="AF15">
        <v>1693</v>
      </c>
      <c r="AG15">
        <v>3</v>
      </c>
      <c r="AH15">
        <v>6</v>
      </c>
      <c r="AI15">
        <v>13</v>
      </c>
      <c r="AJ15" t="s">
        <v>20</v>
      </c>
      <c r="AK15" t="b">
        <v>1</v>
      </c>
      <c r="AL15">
        <v>0.5</v>
      </c>
      <c r="AM15" t="b">
        <v>1</v>
      </c>
      <c r="AN15">
        <v>8188.0908088960005</v>
      </c>
      <c r="AO15">
        <v>9131.0356175372508</v>
      </c>
      <c r="AP15">
        <v>8190.1186228816396</v>
      </c>
      <c r="AQ15">
        <v>8190.1186170332403</v>
      </c>
      <c r="AR15">
        <v>0</v>
      </c>
      <c r="AS15">
        <v>342438</v>
      </c>
      <c r="AT15">
        <v>3600.5551409721302</v>
      </c>
      <c r="AU15">
        <v>3600</v>
      </c>
    </row>
    <row r="16" spans="1:47" x14ac:dyDescent="0.35">
      <c r="A16">
        <f t="shared" si="0"/>
        <v>17.302777507556328</v>
      </c>
      <c r="B16">
        <f t="shared" si="1"/>
        <v>14.572403974939242</v>
      </c>
      <c r="C16">
        <f t="shared" si="2"/>
        <v>4.6945127603637241E-2</v>
      </c>
      <c r="D16">
        <f t="shared" si="3"/>
        <v>0</v>
      </c>
      <c r="E16">
        <f t="shared" si="4"/>
        <v>0</v>
      </c>
      <c r="G16" t="s">
        <v>41</v>
      </c>
      <c r="H16">
        <v>3</v>
      </c>
      <c r="I16">
        <v>150</v>
      </c>
      <c r="J16">
        <v>1693</v>
      </c>
      <c r="K16">
        <v>3</v>
      </c>
      <c r="L16">
        <v>6</v>
      </c>
      <c r="M16">
        <v>14</v>
      </c>
      <c r="N16" t="s">
        <v>20</v>
      </c>
      <c r="O16" t="b">
        <v>1</v>
      </c>
      <c r="P16">
        <v>0.5</v>
      </c>
      <c r="Q16" t="b">
        <v>0</v>
      </c>
      <c r="R16">
        <v>8114.05964770428</v>
      </c>
      <c r="S16">
        <v>9518.0173353769605</v>
      </c>
      <c r="T16">
        <v>8117.9113238904301</v>
      </c>
      <c r="U16">
        <v>8117.86880335973</v>
      </c>
      <c r="V16">
        <v>0</v>
      </c>
      <c r="W16">
        <v>4945876</v>
      </c>
      <c r="X16">
        <v>3600.1171290874399</v>
      </c>
      <c r="Y16">
        <v>3600</v>
      </c>
      <c r="AC16" t="s">
        <v>41</v>
      </c>
      <c r="AD16">
        <v>3</v>
      </c>
      <c r="AE16">
        <v>150</v>
      </c>
      <c r="AF16">
        <v>1693</v>
      </c>
      <c r="AG16">
        <v>3</v>
      </c>
      <c r="AH16">
        <v>6</v>
      </c>
      <c r="AI16">
        <v>14</v>
      </c>
      <c r="AJ16" t="s">
        <v>20</v>
      </c>
      <c r="AK16" t="b">
        <v>1</v>
      </c>
      <c r="AL16">
        <v>0.5</v>
      </c>
      <c r="AM16" t="b">
        <v>1</v>
      </c>
      <c r="AN16">
        <v>8114.05964770428</v>
      </c>
      <c r="AO16">
        <v>9296.4731983352794</v>
      </c>
      <c r="AP16">
        <v>8117.90958212848</v>
      </c>
      <c r="AQ16">
        <v>8117.86880335973</v>
      </c>
      <c r="AR16">
        <v>0</v>
      </c>
      <c r="AS16">
        <v>153187</v>
      </c>
      <c r="AT16">
        <v>3600.0714399814601</v>
      </c>
      <c r="AU16">
        <v>3600</v>
      </c>
    </row>
    <row r="17" spans="1:47" x14ac:dyDescent="0.35">
      <c r="A17">
        <f t="shared" si="0"/>
        <v>17.479881783095468</v>
      </c>
      <c r="B17">
        <f t="shared" si="1"/>
        <v>11.572549478114579</v>
      </c>
      <c r="C17">
        <f t="shared" si="2"/>
        <v>0</v>
      </c>
      <c r="D17">
        <f t="shared" si="3"/>
        <v>0</v>
      </c>
      <c r="E17">
        <f t="shared" si="4"/>
        <v>0</v>
      </c>
      <c r="G17" t="s">
        <v>41</v>
      </c>
      <c r="H17">
        <v>3</v>
      </c>
      <c r="I17">
        <v>150</v>
      </c>
      <c r="J17">
        <v>1693</v>
      </c>
      <c r="K17">
        <v>3</v>
      </c>
      <c r="L17">
        <v>6</v>
      </c>
      <c r="M17">
        <v>15</v>
      </c>
      <c r="N17" t="s">
        <v>20</v>
      </c>
      <c r="O17" t="b">
        <v>1</v>
      </c>
      <c r="P17">
        <v>0.5</v>
      </c>
      <c r="Q17" t="b">
        <v>0</v>
      </c>
      <c r="R17">
        <v>8099.5911321181102</v>
      </c>
      <c r="S17">
        <v>9515.3900869264398</v>
      </c>
      <c r="T17">
        <v>8099.6429240869402</v>
      </c>
      <c r="U17">
        <v>8099.5911321181102</v>
      </c>
      <c r="V17">
        <v>0</v>
      </c>
      <c r="W17">
        <v>5023118</v>
      </c>
      <c r="X17">
        <v>3600.1713180541901</v>
      </c>
      <c r="Y17">
        <v>3600</v>
      </c>
      <c r="AC17" t="s">
        <v>41</v>
      </c>
      <c r="AD17">
        <v>3</v>
      </c>
      <c r="AE17">
        <v>150</v>
      </c>
      <c r="AF17">
        <v>1693</v>
      </c>
      <c r="AG17">
        <v>3</v>
      </c>
      <c r="AH17">
        <v>6</v>
      </c>
      <c r="AI17">
        <v>15</v>
      </c>
      <c r="AJ17" t="s">
        <v>20</v>
      </c>
      <c r="AK17" t="b">
        <v>1</v>
      </c>
      <c r="AL17">
        <v>0.5</v>
      </c>
      <c r="AM17" t="b">
        <v>1</v>
      </c>
      <c r="AN17">
        <v>8099.5911321181102</v>
      </c>
      <c r="AO17">
        <v>9036.9203234074594</v>
      </c>
      <c r="AP17">
        <v>8099.5911321181102</v>
      </c>
      <c r="AQ17">
        <v>8099.5911321181102</v>
      </c>
      <c r="AR17">
        <v>0</v>
      </c>
      <c r="AS17">
        <v>437679</v>
      </c>
      <c r="AT17">
        <v>3600.3698420524502</v>
      </c>
      <c r="AU17">
        <v>3600</v>
      </c>
    </row>
    <row r="18" spans="1:47" x14ac:dyDescent="0.35">
      <c r="A18">
        <f t="shared" si="0"/>
        <v>16.397063532792732</v>
      </c>
      <c r="B18">
        <f t="shared" si="1"/>
        <v>13.345692723889849</v>
      </c>
      <c r="C18">
        <f t="shared" si="2"/>
        <v>0</v>
      </c>
      <c r="D18">
        <f t="shared" si="3"/>
        <v>0</v>
      </c>
      <c r="E18">
        <f t="shared" si="4"/>
        <v>0</v>
      </c>
      <c r="G18" t="s">
        <v>41</v>
      </c>
      <c r="H18">
        <v>3</v>
      </c>
      <c r="I18">
        <v>150</v>
      </c>
      <c r="J18">
        <v>1693</v>
      </c>
      <c r="K18">
        <v>3</v>
      </c>
      <c r="L18">
        <v>6</v>
      </c>
      <c r="M18">
        <v>16</v>
      </c>
      <c r="N18" t="s">
        <v>20</v>
      </c>
      <c r="O18" t="b">
        <v>1</v>
      </c>
      <c r="P18">
        <v>0.5</v>
      </c>
      <c r="Q18" t="b">
        <v>0</v>
      </c>
      <c r="R18">
        <v>8165.44328673788</v>
      </c>
      <c r="S18">
        <v>9504.3362101984494</v>
      </c>
      <c r="T18">
        <v>8165.4963752879103</v>
      </c>
      <c r="U18">
        <v>8165.44328673788</v>
      </c>
      <c r="V18">
        <v>0</v>
      </c>
      <c r="W18">
        <v>3941303</v>
      </c>
      <c r="X18">
        <v>3600.1149451732599</v>
      </c>
      <c r="Y18">
        <v>3600</v>
      </c>
      <c r="AC18" t="s">
        <v>41</v>
      </c>
      <c r="AD18">
        <v>3</v>
      </c>
      <c r="AE18">
        <v>150</v>
      </c>
      <c r="AF18">
        <v>1693</v>
      </c>
      <c r="AG18">
        <v>3</v>
      </c>
      <c r="AH18">
        <v>6</v>
      </c>
      <c r="AI18">
        <v>16</v>
      </c>
      <c r="AJ18" t="s">
        <v>20</v>
      </c>
      <c r="AK18" t="b">
        <v>1</v>
      </c>
      <c r="AL18">
        <v>0.5</v>
      </c>
      <c r="AM18" t="b">
        <v>1</v>
      </c>
      <c r="AN18">
        <v>8165.44328673788</v>
      </c>
      <c r="AO18">
        <v>9255.1782573294095</v>
      </c>
      <c r="AP18">
        <v>8165.4815625778501</v>
      </c>
      <c r="AQ18">
        <v>8165.44328673788</v>
      </c>
      <c r="AR18">
        <v>0</v>
      </c>
      <c r="AS18">
        <v>186926</v>
      </c>
      <c r="AT18">
        <v>3600.38303399086</v>
      </c>
      <c r="AU18">
        <v>3600</v>
      </c>
    </row>
    <row r="19" spans="1:47" x14ac:dyDescent="0.35">
      <c r="A19">
        <f t="shared" si="0"/>
        <v>17.879926533858772</v>
      </c>
      <c r="B19">
        <f t="shared" si="1"/>
        <v>12.209650026680228</v>
      </c>
      <c r="C19">
        <f t="shared" si="2"/>
        <v>0</v>
      </c>
      <c r="D19">
        <f t="shared" si="3"/>
        <v>0</v>
      </c>
      <c r="E19">
        <f t="shared" si="4"/>
        <v>0</v>
      </c>
      <c r="G19" t="s">
        <v>41</v>
      </c>
      <c r="H19">
        <v>3</v>
      </c>
      <c r="I19">
        <v>150</v>
      </c>
      <c r="J19">
        <v>1693</v>
      </c>
      <c r="K19">
        <v>3</v>
      </c>
      <c r="L19">
        <v>6</v>
      </c>
      <c r="M19">
        <v>17</v>
      </c>
      <c r="N19" t="s">
        <v>20</v>
      </c>
      <c r="O19" t="b">
        <v>1</v>
      </c>
      <c r="P19">
        <v>0.5</v>
      </c>
      <c r="Q19" t="b">
        <v>0</v>
      </c>
      <c r="R19">
        <v>8045.9096093190501</v>
      </c>
      <c r="S19">
        <v>9484.5123364459796</v>
      </c>
      <c r="T19">
        <v>8045.9740635543803</v>
      </c>
      <c r="U19">
        <v>8045.9096093190501</v>
      </c>
      <c r="V19">
        <v>0</v>
      </c>
      <c r="W19">
        <v>5043067</v>
      </c>
      <c r="X19">
        <v>3600.1840741634301</v>
      </c>
      <c r="Y19">
        <v>3600</v>
      </c>
      <c r="AC19" t="s">
        <v>41</v>
      </c>
      <c r="AD19">
        <v>3</v>
      </c>
      <c r="AE19">
        <v>150</v>
      </c>
      <c r="AF19">
        <v>1693</v>
      </c>
      <c r="AG19">
        <v>3</v>
      </c>
      <c r="AH19">
        <v>6</v>
      </c>
      <c r="AI19">
        <v>17</v>
      </c>
      <c r="AJ19" t="s">
        <v>20</v>
      </c>
      <c r="AK19" t="b">
        <v>1</v>
      </c>
      <c r="AL19">
        <v>0.5</v>
      </c>
      <c r="AM19" t="b">
        <v>1</v>
      </c>
      <c r="AN19">
        <v>8045.9096093190501</v>
      </c>
      <c r="AO19">
        <v>9028.2870140799405</v>
      </c>
      <c r="AP19">
        <v>8045.9096093190501</v>
      </c>
      <c r="AQ19">
        <v>8045.9096093190501</v>
      </c>
      <c r="AR19">
        <v>0</v>
      </c>
      <c r="AS19">
        <v>234022</v>
      </c>
      <c r="AT19">
        <v>3600.5803029537201</v>
      </c>
      <c r="AU19">
        <v>3600</v>
      </c>
    </row>
    <row r="20" spans="1:47" x14ac:dyDescent="0.35">
      <c r="A20">
        <f t="shared" si="0"/>
        <v>18.485113149094943</v>
      </c>
      <c r="B20">
        <f t="shared" si="1"/>
        <v>12.76379048228811</v>
      </c>
      <c r="C20">
        <f t="shared" si="2"/>
        <v>0.37425390798917291</v>
      </c>
      <c r="D20">
        <f t="shared" si="3"/>
        <v>0</v>
      </c>
      <c r="E20">
        <f t="shared" si="4"/>
        <v>0</v>
      </c>
      <c r="G20" t="s">
        <v>41</v>
      </c>
      <c r="H20">
        <v>3</v>
      </c>
      <c r="I20">
        <v>150</v>
      </c>
      <c r="J20">
        <v>1693</v>
      </c>
      <c r="K20">
        <v>3</v>
      </c>
      <c r="L20">
        <v>6</v>
      </c>
      <c r="M20">
        <v>18</v>
      </c>
      <c r="N20" t="s">
        <v>20</v>
      </c>
      <c r="O20" t="b">
        <v>1</v>
      </c>
      <c r="P20">
        <v>0.5</v>
      </c>
      <c r="Q20" t="b">
        <v>0</v>
      </c>
      <c r="R20">
        <v>8115.0112902598303</v>
      </c>
      <c r="S20">
        <v>9615.0803093261893</v>
      </c>
      <c r="T20">
        <v>8145.5130832960303</v>
      </c>
      <c r="U20">
        <v>8145.3820371473903</v>
      </c>
      <c r="V20">
        <v>0</v>
      </c>
      <c r="W20">
        <v>5404361</v>
      </c>
      <c r="X20">
        <v>3600.1056630611401</v>
      </c>
      <c r="Y20">
        <v>3600</v>
      </c>
      <c r="AC20" t="s">
        <v>41</v>
      </c>
      <c r="AD20">
        <v>3</v>
      </c>
      <c r="AE20">
        <v>150</v>
      </c>
      <c r="AF20">
        <v>1693</v>
      </c>
      <c r="AG20">
        <v>3</v>
      </c>
      <c r="AH20">
        <v>6</v>
      </c>
      <c r="AI20">
        <v>18</v>
      </c>
      <c r="AJ20" t="s">
        <v>20</v>
      </c>
      <c r="AK20" t="b">
        <v>1</v>
      </c>
      <c r="AL20">
        <v>0.5</v>
      </c>
      <c r="AM20" t="b">
        <v>1</v>
      </c>
      <c r="AN20">
        <v>8115.0112902598303</v>
      </c>
      <c r="AO20">
        <v>9150.7943289626201</v>
      </c>
      <c r="AP20">
        <v>8145.40030831682</v>
      </c>
      <c r="AQ20">
        <v>8145.3820371473903</v>
      </c>
      <c r="AR20">
        <v>0</v>
      </c>
      <c r="AS20">
        <v>318200</v>
      </c>
      <c r="AT20">
        <v>3600.31897807121</v>
      </c>
      <c r="AU20">
        <v>3600</v>
      </c>
    </row>
    <row r="21" spans="1:47" x14ac:dyDescent="0.35">
      <c r="A21">
        <f t="shared" si="0"/>
        <v>18.464383014325435</v>
      </c>
      <c r="B21">
        <f t="shared" si="1"/>
        <v>12.711761661149826</v>
      </c>
      <c r="C21">
        <f t="shared" si="2"/>
        <v>0</v>
      </c>
      <c r="D21">
        <f t="shared" si="3"/>
        <v>0</v>
      </c>
      <c r="E21">
        <f t="shared" si="4"/>
        <v>0</v>
      </c>
      <c r="G21" t="s">
        <v>41</v>
      </c>
      <c r="H21">
        <v>3</v>
      </c>
      <c r="I21">
        <v>150</v>
      </c>
      <c r="J21">
        <v>1693</v>
      </c>
      <c r="K21">
        <v>3</v>
      </c>
      <c r="L21">
        <v>6</v>
      </c>
      <c r="M21">
        <v>19</v>
      </c>
      <c r="N21" t="s">
        <v>20</v>
      </c>
      <c r="O21" t="b">
        <v>1</v>
      </c>
      <c r="P21">
        <v>0.5</v>
      </c>
      <c r="Q21" t="b">
        <v>0</v>
      </c>
      <c r="R21">
        <v>8016.6529221934998</v>
      </c>
      <c r="S21">
        <v>9496.8784226764201</v>
      </c>
      <c r="T21">
        <v>8016.6899685941798</v>
      </c>
      <c r="U21">
        <v>8016.6529221934998</v>
      </c>
      <c r="V21">
        <v>0</v>
      </c>
      <c r="W21">
        <v>6133935</v>
      </c>
      <c r="X21">
        <v>3600.1090378761201</v>
      </c>
      <c r="Y21">
        <v>3600</v>
      </c>
      <c r="AC21" t="s">
        <v>41</v>
      </c>
      <c r="AD21">
        <v>3</v>
      </c>
      <c r="AE21">
        <v>150</v>
      </c>
      <c r="AF21">
        <v>1693</v>
      </c>
      <c r="AG21">
        <v>3</v>
      </c>
      <c r="AH21">
        <v>6</v>
      </c>
      <c r="AI21">
        <v>19</v>
      </c>
      <c r="AJ21" t="s">
        <v>20</v>
      </c>
      <c r="AK21" t="b">
        <v>1</v>
      </c>
      <c r="AL21">
        <v>0.5</v>
      </c>
      <c r="AM21" t="b">
        <v>1</v>
      </c>
      <c r="AN21">
        <v>8016.6529221934998</v>
      </c>
      <c r="AO21">
        <v>9035.7107348643403</v>
      </c>
      <c r="AP21">
        <v>8016.6929221935097</v>
      </c>
      <c r="AQ21">
        <v>8016.6529221934998</v>
      </c>
      <c r="AR21">
        <v>0</v>
      </c>
      <c r="AS21">
        <v>281489</v>
      </c>
      <c r="AT21">
        <v>3600.4054338932001</v>
      </c>
      <c r="AU21">
        <v>3600</v>
      </c>
    </row>
    <row r="22" spans="1:47" x14ac:dyDescent="0.35">
      <c r="A22">
        <f t="shared" si="0"/>
        <v>18.028677675323735</v>
      </c>
      <c r="B22">
        <f t="shared" si="1"/>
        <v>12.073884301976765</v>
      </c>
      <c r="C22">
        <f t="shared" si="2"/>
        <v>0</v>
      </c>
      <c r="D22">
        <f t="shared" si="3"/>
        <v>0</v>
      </c>
      <c r="E22">
        <f t="shared" si="4"/>
        <v>0</v>
      </c>
      <c r="G22" t="s">
        <v>41</v>
      </c>
      <c r="H22">
        <v>3</v>
      </c>
      <c r="I22">
        <v>150</v>
      </c>
      <c r="J22">
        <v>1693</v>
      </c>
      <c r="K22">
        <v>3</v>
      </c>
      <c r="L22">
        <v>6</v>
      </c>
      <c r="M22">
        <v>20</v>
      </c>
      <c r="N22" t="s">
        <v>20</v>
      </c>
      <c r="O22" t="b">
        <v>1</v>
      </c>
      <c r="P22">
        <v>0.5</v>
      </c>
      <c r="Q22" t="b">
        <v>0</v>
      </c>
      <c r="R22">
        <v>8299.1176315612593</v>
      </c>
      <c r="S22">
        <v>9795.3387992513999</v>
      </c>
      <c r="T22">
        <v>8299.1452274012408</v>
      </c>
      <c r="U22">
        <v>8299.1176315612593</v>
      </c>
      <c r="V22">
        <v>0</v>
      </c>
      <c r="W22">
        <v>4773647</v>
      </c>
      <c r="X22">
        <v>3600.1389479637101</v>
      </c>
      <c r="Y22">
        <v>3600</v>
      </c>
      <c r="AC22" t="s">
        <v>41</v>
      </c>
      <c r="AD22">
        <v>3</v>
      </c>
      <c r="AE22">
        <v>150</v>
      </c>
      <c r="AF22">
        <v>1693</v>
      </c>
      <c r="AG22">
        <v>3</v>
      </c>
      <c r="AH22">
        <v>6</v>
      </c>
      <c r="AI22">
        <v>20</v>
      </c>
      <c r="AJ22" t="s">
        <v>20</v>
      </c>
      <c r="AK22" t="b">
        <v>1</v>
      </c>
      <c r="AL22">
        <v>0.5</v>
      </c>
      <c r="AM22" t="b">
        <v>1</v>
      </c>
      <c r="AN22">
        <v>8299.1176315612593</v>
      </c>
      <c r="AO22">
        <v>9301.14349248092</v>
      </c>
      <c r="AP22">
        <v>8299.1370617013799</v>
      </c>
      <c r="AQ22">
        <v>8299.1176315612593</v>
      </c>
      <c r="AR22">
        <v>0</v>
      </c>
      <c r="AS22">
        <v>237430</v>
      </c>
      <c r="AT22">
        <v>3600.2346270084299</v>
      </c>
      <c r="AU22">
        <v>3600</v>
      </c>
    </row>
    <row r="23" spans="1:47" x14ac:dyDescent="0.35">
      <c r="A23">
        <f t="shared" si="0"/>
        <v>17.169659536664785</v>
      </c>
      <c r="B23">
        <f t="shared" si="1"/>
        <v>9.6187626386168148</v>
      </c>
      <c r="C23">
        <f t="shared" si="2"/>
        <v>0</v>
      </c>
      <c r="D23">
        <f t="shared" si="3"/>
        <v>0</v>
      </c>
      <c r="E23">
        <f t="shared" si="4"/>
        <v>0</v>
      </c>
      <c r="G23" t="s">
        <v>41</v>
      </c>
      <c r="H23">
        <v>3</v>
      </c>
      <c r="I23">
        <v>150</v>
      </c>
      <c r="J23">
        <v>1693</v>
      </c>
      <c r="K23">
        <v>3</v>
      </c>
      <c r="L23">
        <v>6</v>
      </c>
      <c r="M23">
        <v>21</v>
      </c>
      <c r="N23" t="s">
        <v>20</v>
      </c>
      <c r="O23" t="b">
        <v>1</v>
      </c>
      <c r="P23">
        <v>0.5</v>
      </c>
      <c r="Q23" t="b">
        <v>0</v>
      </c>
      <c r="R23">
        <v>8121.4277497174398</v>
      </c>
      <c r="S23">
        <v>9515.8492438601406</v>
      </c>
      <c r="T23">
        <v>8121.4490725719097</v>
      </c>
      <c r="U23">
        <v>8121.4277497174398</v>
      </c>
      <c r="V23">
        <v>0</v>
      </c>
      <c r="W23">
        <v>4247442</v>
      </c>
      <c r="X23">
        <v>3600.1358768939899</v>
      </c>
      <c r="Y23">
        <v>3600</v>
      </c>
      <c r="AC23" t="s">
        <v>41</v>
      </c>
      <c r="AD23">
        <v>3</v>
      </c>
      <c r="AE23">
        <v>150</v>
      </c>
      <c r="AF23">
        <v>1693</v>
      </c>
      <c r="AG23">
        <v>3</v>
      </c>
      <c r="AH23">
        <v>6</v>
      </c>
      <c r="AI23">
        <v>21</v>
      </c>
      <c r="AJ23" t="s">
        <v>20</v>
      </c>
      <c r="AK23" t="b">
        <v>1</v>
      </c>
      <c r="AL23">
        <v>0.5</v>
      </c>
      <c r="AM23" t="b">
        <v>1</v>
      </c>
      <c r="AN23">
        <v>8121.4277497174398</v>
      </c>
      <c r="AO23">
        <v>8902.6086078295193</v>
      </c>
      <c r="AP23">
        <v>8121.4277497174398</v>
      </c>
      <c r="AQ23">
        <v>8121.4277497174398</v>
      </c>
      <c r="AR23">
        <v>0</v>
      </c>
      <c r="AS23">
        <v>336463</v>
      </c>
      <c r="AT23">
        <v>3600.2140738963999</v>
      </c>
      <c r="AU23">
        <v>3600</v>
      </c>
    </row>
    <row r="24" spans="1:47" x14ac:dyDescent="0.35">
      <c r="A24">
        <f t="shared" si="0"/>
        <v>16.604135839760499</v>
      </c>
      <c r="B24">
        <f t="shared" si="1"/>
        <v>11.960911976896805</v>
      </c>
      <c r="C24">
        <f t="shared" si="2"/>
        <v>0</v>
      </c>
      <c r="D24">
        <f t="shared" si="3"/>
        <v>0</v>
      </c>
      <c r="E24">
        <f t="shared" si="4"/>
        <v>0</v>
      </c>
      <c r="G24" t="s">
        <v>41</v>
      </c>
      <c r="H24">
        <v>3</v>
      </c>
      <c r="I24">
        <v>150</v>
      </c>
      <c r="J24">
        <v>1693</v>
      </c>
      <c r="K24">
        <v>3</v>
      </c>
      <c r="L24">
        <v>6</v>
      </c>
      <c r="M24">
        <v>22</v>
      </c>
      <c r="N24" t="s">
        <v>20</v>
      </c>
      <c r="O24" t="b">
        <v>1</v>
      </c>
      <c r="P24">
        <v>0.5</v>
      </c>
      <c r="Q24" t="b">
        <v>0</v>
      </c>
      <c r="R24">
        <v>8080.6255600498798</v>
      </c>
      <c r="S24">
        <v>9422.3436047429695</v>
      </c>
      <c r="T24">
        <v>8080.6255600498798</v>
      </c>
      <c r="U24">
        <v>8080.6255600498798</v>
      </c>
      <c r="V24">
        <v>0</v>
      </c>
      <c r="W24">
        <v>5002672</v>
      </c>
      <c r="X24">
        <v>3600.0857479572201</v>
      </c>
      <c r="Y24">
        <v>3600</v>
      </c>
      <c r="AC24" t="s">
        <v>41</v>
      </c>
      <c r="AD24">
        <v>3</v>
      </c>
      <c r="AE24">
        <v>150</v>
      </c>
      <c r="AF24">
        <v>1693</v>
      </c>
      <c r="AG24">
        <v>3</v>
      </c>
      <c r="AH24">
        <v>6</v>
      </c>
      <c r="AI24">
        <v>22</v>
      </c>
      <c r="AJ24" t="s">
        <v>20</v>
      </c>
      <c r="AK24" t="b">
        <v>1</v>
      </c>
      <c r="AL24">
        <v>0.5</v>
      </c>
      <c r="AM24" t="b">
        <v>1</v>
      </c>
      <c r="AN24">
        <v>8080.6255600498798</v>
      </c>
      <c r="AO24">
        <v>9047.1420704700704</v>
      </c>
      <c r="AP24">
        <v>8080.6255600498798</v>
      </c>
      <c r="AQ24">
        <v>8080.6255600498798</v>
      </c>
      <c r="AR24">
        <v>0</v>
      </c>
      <c r="AS24">
        <v>357639</v>
      </c>
      <c r="AT24">
        <v>3600.5220909118598</v>
      </c>
      <c r="AU24">
        <v>3600</v>
      </c>
    </row>
    <row r="25" spans="1:47" x14ac:dyDescent="0.35">
      <c r="A25">
        <f t="shared" si="0"/>
        <v>17.835906792832287</v>
      </c>
      <c r="B25">
        <f t="shared" si="1"/>
        <v>11.751432987248918</v>
      </c>
      <c r="C25">
        <f t="shared" si="2"/>
        <v>0.28682189036672462</v>
      </c>
      <c r="D25">
        <f t="shared" si="3"/>
        <v>0</v>
      </c>
      <c r="E25">
        <f t="shared" si="4"/>
        <v>0</v>
      </c>
      <c r="G25" t="s">
        <v>41</v>
      </c>
      <c r="H25">
        <v>3</v>
      </c>
      <c r="I25">
        <v>150</v>
      </c>
      <c r="J25">
        <v>1693</v>
      </c>
      <c r="K25">
        <v>3</v>
      </c>
      <c r="L25">
        <v>6</v>
      </c>
      <c r="M25">
        <v>23</v>
      </c>
      <c r="N25" t="s">
        <v>20</v>
      </c>
      <c r="O25" t="b">
        <v>1</v>
      </c>
      <c r="P25">
        <v>0.5</v>
      </c>
      <c r="Q25" t="b">
        <v>0</v>
      </c>
      <c r="R25">
        <v>8018.9630764451804</v>
      </c>
      <c r="S25">
        <v>9449.2178565115792</v>
      </c>
      <c r="T25">
        <v>8042.0967008140096</v>
      </c>
      <c r="U25">
        <v>8041.9632179288501</v>
      </c>
      <c r="V25">
        <v>0</v>
      </c>
      <c r="W25">
        <v>5559609</v>
      </c>
      <c r="X25">
        <v>3600.15138816833</v>
      </c>
      <c r="Y25">
        <v>3600</v>
      </c>
      <c r="AC25" t="s">
        <v>41</v>
      </c>
      <c r="AD25">
        <v>3</v>
      </c>
      <c r="AE25">
        <v>150</v>
      </c>
      <c r="AF25">
        <v>1693</v>
      </c>
      <c r="AG25">
        <v>3</v>
      </c>
      <c r="AH25">
        <v>6</v>
      </c>
      <c r="AI25">
        <v>23</v>
      </c>
      <c r="AJ25" t="s">
        <v>20</v>
      </c>
      <c r="AK25" t="b">
        <v>1</v>
      </c>
      <c r="AL25">
        <v>0.5</v>
      </c>
      <c r="AM25" t="b">
        <v>1</v>
      </c>
      <c r="AN25">
        <v>8018.9630764451804</v>
      </c>
      <c r="AO25">
        <v>8961.3061486458701</v>
      </c>
      <c r="AP25">
        <v>8041.9932332818498</v>
      </c>
      <c r="AQ25">
        <v>8041.9632179288501</v>
      </c>
      <c r="AR25">
        <v>0</v>
      </c>
      <c r="AS25">
        <v>342891</v>
      </c>
      <c r="AT25">
        <v>3600.1240789890198</v>
      </c>
      <c r="AU25">
        <v>3600</v>
      </c>
    </row>
    <row r="26" spans="1:47" x14ac:dyDescent="0.35">
      <c r="A26">
        <f t="shared" si="0"/>
        <v>17.92290710324863</v>
      </c>
      <c r="B26">
        <f t="shared" si="1"/>
        <v>10.323301544767162</v>
      </c>
      <c r="C26">
        <f t="shared" si="2"/>
        <v>0.37317966323744672</v>
      </c>
      <c r="D26">
        <f t="shared" si="3"/>
        <v>0</v>
      </c>
      <c r="E26">
        <f t="shared" si="4"/>
        <v>0</v>
      </c>
      <c r="G26" t="s">
        <v>41</v>
      </c>
      <c r="H26">
        <v>3</v>
      </c>
      <c r="I26">
        <v>150</v>
      </c>
      <c r="J26">
        <v>1693</v>
      </c>
      <c r="K26">
        <v>3</v>
      </c>
      <c r="L26">
        <v>6</v>
      </c>
      <c r="M26">
        <v>24</v>
      </c>
      <c r="N26" t="s">
        <v>20</v>
      </c>
      <c r="O26" t="b">
        <v>1</v>
      </c>
      <c r="P26">
        <v>0.5</v>
      </c>
      <c r="Q26" t="b">
        <v>0</v>
      </c>
      <c r="R26">
        <v>8123.5777664659399</v>
      </c>
      <c r="S26">
        <v>9579.5590630097904</v>
      </c>
      <c r="T26">
        <v>8153.9039161907504</v>
      </c>
      <c r="U26">
        <v>8153.8933066176696</v>
      </c>
      <c r="V26">
        <v>0</v>
      </c>
      <c r="W26">
        <v>4854593</v>
      </c>
      <c r="X26">
        <v>3600.1737761497402</v>
      </c>
      <c r="Y26">
        <v>3600</v>
      </c>
      <c r="AC26" t="s">
        <v>41</v>
      </c>
      <c r="AD26">
        <v>3</v>
      </c>
      <c r="AE26">
        <v>150</v>
      </c>
      <c r="AF26">
        <v>1693</v>
      </c>
      <c r="AG26">
        <v>3</v>
      </c>
      <c r="AH26">
        <v>6</v>
      </c>
      <c r="AI26">
        <v>24</v>
      </c>
      <c r="AJ26" t="s">
        <v>20</v>
      </c>
      <c r="AK26" t="b">
        <v>1</v>
      </c>
      <c r="AL26">
        <v>0.5</v>
      </c>
      <c r="AM26" t="b">
        <v>1</v>
      </c>
      <c r="AN26">
        <v>8123.5777664659399</v>
      </c>
      <c r="AO26">
        <v>8962.19919552188</v>
      </c>
      <c r="AP26">
        <v>8153.9032040256598</v>
      </c>
      <c r="AQ26">
        <v>8153.8933066176696</v>
      </c>
      <c r="AR26">
        <v>0</v>
      </c>
      <c r="AS26">
        <v>139368</v>
      </c>
      <c r="AT26">
        <v>3600.3577141761698</v>
      </c>
      <c r="AU26">
        <v>3600</v>
      </c>
    </row>
    <row r="27" spans="1:47" x14ac:dyDescent="0.35">
      <c r="A27">
        <f t="shared" si="0"/>
        <v>14.411664668485576</v>
      </c>
      <c r="B27">
        <f t="shared" si="1"/>
        <v>13.826866259320292</v>
      </c>
      <c r="C27">
        <f t="shared" si="2"/>
        <v>1.6561908947600748E-2</v>
      </c>
      <c r="D27">
        <f t="shared" si="3"/>
        <v>0</v>
      </c>
      <c r="E27">
        <f t="shared" si="4"/>
        <v>0</v>
      </c>
      <c r="G27" t="s">
        <v>41</v>
      </c>
      <c r="H27">
        <v>3</v>
      </c>
      <c r="I27">
        <v>150</v>
      </c>
      <c r="J27">
        <v>1693</v>
      </c>
      <c r="K27">
        <v>3</v>
      </c>
      <c r="L27">
        <v>6</v>
      </c>
      <c r="M27">
        <v>25</v>
      </c>
      <c r="N27" t="s">
        <v>20</v>
      </c>
      <c r="O27" t="b">
        <v>1</v>
      </c>
      <c r="P27">
        <v>0.5</v>
      </c>
      <c r="Q27" t="b">
        <v>0</v>
      </c>
      <c r="R27">
        <v>7975.8660761826304</v>
      </c>
      <c r="S27">
        <v>9125.3211494895695</v>
      </c>
      <c r="T27">
        <v>7977.1870318599804</v>
      </c>
      <c r="U27">
        <v>7977.1870318599504</v>
      </c>
      <c r="V27">
        <v>0</v>
      </c>
      <c r="W27">
        <v>3640358</v>
      </c>
      <c r="X27">
        <v>3600.1028201580002</v>
      </c>
      <c r="Y27">
        <v>3600</v>
      </c>
      <c r="AC27" t="s">
        <v>41</v>
      </c>
      <c r="AD27">
        <v>3</v>
      </c>
      <c r="AE27">
        <v>150</v>
      </c>
      <c r="AF27">
        <v>1693</v>
      </c>
      <c r="AG27">
        <v>3</v>
      </c>
      <c r="AH27">
        <v>6</v>
      </c>
      <c r="AI27">
        <v>25</v>
      </c>
      <c r="AJ27" t="s">
        <v>20</v>
      </c>
      <c r="AK27" t="b">
        <v>1</v>
      </c>
      <c r="AL27">
        <v>0.5</v>
      </c>
      <c r="AM27" t="b">
        <v>1</v>
      </c>
      <c r="AN27">
        <v>7975.8660761826304</v>
      </c>
      <c r="AO27">
        <v>9078.6784115588998</v>
      </c>
      <c r="AP27">
        <v>7977.1870318599504</v>
      </c>
      <c r="AQ27">
        <v>7977.1870318599504</v>
      </c>
      <c r="AR27">
        <v>0</v>
      </c>
      <c r="AS27">
        <v>289697</v>
      </c>
      <c r="AT27">
        <v>3600.0929620265902</v>
      </c>
      <c r="AU27">
        <v>3600</v>
      </c>
    </row>
    <row r="28" spans="1:47" x14ac:dyDescent="0.35">
      <c r="A28">
        <f t="shared" si="0"/>
        <v>19.832505864801846</v>
      </c>
      <c r="B28">
        <f t="shared" si="1"/>
        <v>13.111572724239917</v>
      </c>
      <c r="C28">
        <f t="shared" si="2"/>
        <v>0</v>
      </c>
      <c r="D28">
        <f t="shared" si="3"/>
        <v>0</v>
      </c>
      <c r="E28">
        <f t="shared" si="4"/>
        <v>0</v>
      </c>
      <c r="G28" t="s">
        <v>41</v>
      </c>
      <c r="H28">
        <v>3</v>
      </c>
      <c r="I28">
        <v>150</v>
      </c>
      <c r="J28">
        <v>1693</v>
      </c>
      <c r="K28">
        <v>3</v>
      </c>
      <c r="L28">
        <v>6</v>
      </c>
      <c r="M28">
        <v>26</v>
      </c>
      <c r="N28" t="s">
        <v>20</v>
      </c>
      <c r="O28" t="b">
        <v>1</v>
      </c>
      <c r="P28">
        <v>0.5</v>
      </c>
      <c r="Q28" t="b">
        <v>0</v>
      </c>
      <c r="R28">
        <v>8203.7032756140597</v>
      </c>
      <c r="S28">
        <v>9830.7032088811593</v>
      </c>
      <c r="T28">
        <v>8203.7321020993604</v>
      </c>
      <c r="U28">
        <v>8203.7032756140597</v>
      </c>
      <c r="V28">
        <v>0</v>
      </c>
      <c r="W28">
        <v>4656577</v>
      </c>
      <c r="X28">
        <v>3600.1723320484102</v>
      </c>
      <c r="Y28">
        <v>3600</v>
      </c>
      <c r="AC28" t="s">
        <v>41</v>
      </c>
      <c r="AD28">
        <v>3</v>
      </c>
      <c r="AE28">
        <v>150</v>
      </c>
      <c r="AF28">
        <v>1693</v>
      </c>
      <c r="AG28">
        <v>3</v>
      </c>
      <c r="AH28">
        <v>6</v>
      </c>
      <c r="AI28">
        <v>26</v>
      </c>
      <c r="AJ28" t="s">
        <v>20</v>
      </c>
      <c r="AK28" t="b">
        <v>1</v>
      </c>
      <c r="AL28">
        <v>0.5</v>
      </c>
      <c r="AM28" t="b">
        <v>1</v>
      </c>
      <c r="AN28">
        <v>8203.7032756140597</v>
      </c>
      <c r="AO28">
        <v>9279.3377966770495</v>
      </c>
      <c r="AP28">
        <v>8203.7092292460493</v>
      </c>
      <c r="AQ28">
        <v>8203.7032756140597</v>
      </c>
      <c r="AR28">
        <v>0</v>
      </c>
      <c r="AS28">
        <v>233591</v>
      </c>
      <c r="AT28">
        <v>3600.3842160701702</v>
      </c>
      <c r="AU28">
        <v>3600</v>
      </c>
    </row>
    <row r="29" spans="1:47" x14ac:dyDescent="0.35">
      <c r="A29">
        <f t="shared" si="0"/>
        <v>19.387110281258771</v>
      </c>
      <c r="B29">
        <f t="shared" si="1"/>
        <v>11.316339250852202</v>
      </c>
      <c r="C29">
        <f t="shared" si="2"/>
        <v>0</v>
      </c>
      <c r="D29">
        <f t="shared" si="3"/>
        <v>0</v>
      </c>
      <c r="E29">
        <f t="shared" si="4"/>
        <v>0</v>
      </c>
      <c r="G29" t="s">
        <v>41</v>
      </c>
      <c r="H29">
        <v>3</v>
      </c>
      <c r="I29">
        <v>150</v>
      </c>
      <c r="J29">
        <v>1693</v>
      </c>
      <c r="K29">
        <v>3</v>
      </c>
      <c r="L29">
        <v>6</v>
      </c>
      <c r="M29">
        <v>27</v>
      </c>
      <c r="N29" t="s">
        <v>20</v>
      </c>
      <c r="O29" t="b">
        <v>1</v>
      </c>
      <c r="P29">
        <v>0.5</v>
      </c>
      <c r="Q29" t="b">
        <v>0</v>
      </c>
      <c r="R29">
        <v>8235.1016065006297</v>
      </c>
      <c r="S29">
        <v>9831.6498367266195</v>
      </c>
      <c r="T29">
        <v>8235.1692501233301</v>
      </c>
      <c r="U29">
        <v>8235.1016065006297</v>
      </c>
      <c r="V29">
        <v>0</v>
      </c>
      <c r="W29">
        <v>4821149</v>
      </c>
      <c r="X29">
        <v>3600.1313991546599</v>
      </c>
      <c r="Y29">
        <v>3600</v>
      </c>
      <c r="AC29" t="s">
        <v>41</v>
      </c>
      <c r="AD29">
        <v>3</v>
      </c>
      <c r="AE29">
        <v>150</v>
      </c>
      <c r="AF29">
        <v>1693</v>
      </c>
      <c r="AG29">
        <v>3</v>
      </c>
      <c r="AH29">
        <v>6</v>
      </c>
      <c r="AI29">
        <v>27</v>
      </c>
      <c r="AJ29" t="s">
        <v>20</v>
      </c>
      <c r="AK29" t="b">
        <v>1</v>
      </c>
      <c r="AL29">
        <v>0.5</v>
      </c>
      <c r="AM29" t="b">
        <v>1</v>
      </c>
      <c r="AN29">
        <v>8235.1016065006297</v>
      </c>
      <c r="AO29">
        <v>9167.0136419446208</v>
      </c>
      <c r="AP29">
        <v>8235.1202552774394</v>
      </c>
      <c r="AQ29">
        <v>8235.1016065006297</v>
      </c>
      <c r="AR29">
        <v>0</v>
      </c>
      <c r="AS29">
        <v>160845</v>
      </c>
      <c r="AT29">
        <v>3600.2390201091698</v>
      </c>
      <c r="AU29">
        <v>3600</v>
      </c>
    </row>
    <row r="30" spans="1:47" x14ac:dyDescent="0.35">
      <c r="A30">
        <f t="shared" si="0"/>
        <v>16.163411570994544</v>
      </c>
      <c r="B30">
        <f t="shared" si="1"/>
        <v>14.0930675311188</v>
      </c>
      <c r="C30">
        <f t="shared" si="2"/>
        <v>0</v>
      </c>
      <c r="D30">
        <f t="shared" si="3"/>
        <v>0</v>
      </c>
      <c r="E30">
        <f t="shared" si="4"/>
        <v>0</v>
      </c>
      <c r="G30" t="s">
        <v>41</v>
      </c>
      <c r="H30">
        <v>3</v>
      </c>
      <c r="I30">
        <v>150</v>
      </c>
      <c r="J30">
        <v>1693</v>
      </c>
      <c r="K30">
        <v>3</v>
      </c>
      <c r="L30">
        <v>6</v>
      </c>
      <c r="M30">
        <v>28</v>
      </c>
      <c r="N30" t="s">
        <v>20</v>
      </c>
      <c r="O30" t="b">
        <v>1</v>
      </c>
      <c r="P30">
        <v>0.5</v>
      </c>
      <c r="Q30" t="b">
        <v>0</v>
      </c>
      <c r="R30">
        <v>8024.0934492071901</v>
      </c>
      <c r="S30">
        <v>9321.0606982437603</v>
      </c>
      <c r="T30">
        <v>8024.0934492071901</v>
      </c>
      <c r="U30">
        <v>8024.0934492071901</v>
      </c>
      <c r="V30">
        <v>0</v>
      </c>
      <c r="W30">
        <v>5652835</v>
      </c>
      <c r="X30">
        <v>3600.1229760646802</v>
      </c>
      <c r="Y30">
        <v>3600</v>
      </c>
      <c r="AC30" t="s">
        <v>41</v>
      </c>
      <c r="AD30">
        <v>3</v>
      </c>
      <c r="AE30">
        <v>150</v>
      </c>
      <c r="AF30">
        <v>1693</v>
      </c>
      <c r="AG30">
        <v>3</v>
      </c>
      <c r="AH30">
        <v>6</v>
      </c>
      <c r="AI30">
        <v>28</v>
      </c>
      <c r="AJ30" t="s">
        <v>20</v>
      </c>
      <c r="AK30" t="b">
        <v>1</v>
      </c>
      <c r="AL30">
        <v>0.5</v>
      </c>
      <c r="AM30" t="b">
        <v>1</v>
      </c>
      <c r="AN30">
        <v>8024.0934492071901</v>
      </c>
      <c r="AO30">
        <v>9154.9343577640393</v>
      </c>
      <c r="AP30">
        <v>8024.0934515402396</v>
      </c>
      <c r="AQ30">
        <v>8024.0934492071901</v>
      </c>
      <c r="AR30">
        <v>0</v>
      </c>
      <c r="AS30">
        <v>313544</v>
      </c>
      <c r="AT30">
        <v>3600.0998170375801</v>
      </c>
      <c r="AU30">
        <v>3600</v>
      </c>
    </row>
    <row r="31" spans="1:47" x14ac:dyDescent="0.35">
      <c r="A31">
        <f t="shared" si="0"/>
        <v>20.62756626518329</v>
      </c>
      <c r="B31">
        <f t="shared" si="1"/>
        <v>12.959327182975292</v>
      </c>
      <c r="C31">
        <f t="shared" si="2"/>
        <v>1.1360445273656913E-2</v>
      </c>
      <c r="D31">
        <f t="shared" si="3"/>
        <v>0</v>
      </c>
      <c r="E31">
        <f t="shared" si="4"/>
        <v>0</v>
      </c>
      <c r="G31" t="s">
        <v>41</v>
      </c>
      <c r="H31">
        <v>3</v>
      </c>
      <c r="I31">
        <v>150</v>
      </c>
      <c r="J31">
        <v>1693</v>
      </c>
      <c r="K31">
        <v>3</v>
      </c>
      <c r="L31">
        <v>6</v>
      </c>
      <c r="M31">
        <v>29</v>
      </c>
      <c r="N31" t="s">
        <v>20</v>
      </c>
      <c r="O31" t="b">
        <v>1</v>
      </c>
      <c r="P31">
        <v>0.5</v>
      </c>
      <c r="Q31" t="b">
        <v>0</v>
      </c>
      <c r="R31">
        <v>8066.78266057983</v>
      </c>
      <c r="S31">
        <v>9730.7635993592503</v>
      </c>
      <c r="T31">
        <v>8067.73880723415</v>
      </c>
      <c r="U31">
        <v>8067.69908300933</v>
      </c>
      <c r="V31">
        <v>0</v>
      </c>
      <c r="W31">
        <v>5059939</v>
      </c>
      <c r="X31">
        <v>3600.1341018676699</v>
      </c>
      <c r="Y31">
        <v>3600</v>
      </c>
      <c r="AC31" t="s">
        <v>41</v>
      </c>
      <c r="AD31">
        <v>3</v>
      </c>
      <c r="AE31">
        <v>150</v>
      </c>
      <c r="AF31">
        <v>1693</v>
      </c>
      <c r="AG31">
        <v>3</v>
      </c>
      <c r="AH31">
        <v>6</v>
      </c>
      <c r="AI31">
        <v>29</v>
      </c>
      <c r="AJ31" t="s">
        <v>20</v>
      </c>
      <c r="AK31" t="b">
        <v>1</v>
      </c>
      <c r="AL31">
        <v>0.5</v>
      </c>
      <c r="AM31" t="b">
        <v>1</v>
      </c>
      <c r="AN31">
        <v>8066.78266057983</v>
      </c>
      <c r="AO31">
        <v>9112.1834187038894</v>
      </c>
      <c r="AP31">
        <v>8067.6990905860803</v>
      </c>
      <c r="AQ31">
        <v>8067.69908300933</v>
      </c>
      <c r="AR31">
        <v>0</v>
      </c>
      <c r="AS31">
        <v>246100</v>
      </c>
      <c r="AT31">
        <v>3600.5644938945702</v>
      </c>
      <c r="AU31">
        <v>3600</v>
      </c>
    </row>
    <row r="32" spans="1:47" x14ac:dyDescent="0.35">
      <c r="A32">
        <f t="shared" si="0"/>
        <v>17.011967334563835</v>
      </c>
      <c r="B32">
        <f t="shared" si="1"/>
        <v>13.174294188863952</v>
      </c>
      <c r="C32">
        <f t="shared" si="2"/>
        <v>1.3554045096309655E-2</v>
      </c>
      <c r="D32">
        <f t="shared" si="3"/>
        <v>0</v>
      </c>
      <c r="E32">
        <f t="shared" si="4"/>
        <v>0</v>
      </c>
      <c r="G32" t="s">
        <v>41</v>
      </c>
      <c r="H32">
        <v>3</v>
      </c>
      <c r="I32">
        <v>150</v>
      </c>
      <c r="J32">
        <v>1693</v>
      </c>
      <c r="K32">
        <v>3</v>
      </c>
      <c r="L32">
        <v>6</v>
      </c>
      <c r="M32">
        <v>30</v>
      </c>
      <c r="N32" t="s">
        <v>20</v>
      </c>
      <c r="O32" t="b">
        <v>1</v>
      </c>
      <c r="P32">
        <v>0.5</v>
      </c>
      <c r="Q32" t="b">
        <v>0</v>
      </c>
      <c r="R32">
        <v>7981.2882620182399</v>
      </c>
      <c r="S32">
        <v>9339.0624140301607</v>
      </c>
      <c r="T32">
        <v>7982.3846973812797</v>
      </c>
      <c r="U32">
        <v>7982.3700494285404</v>
      </c>
      <c r="V32">
        <v>0</v>
      </c>
      <c r="W32">
        <v>6569751</v>
      </c>
      <c r="X32">
        <v>3600.0814061164801</v>
      </c>
      <c r="Y32">
        <v>3600</v>
      </c>
      <c r="AC32" t="s">
        <v>41</v>
      </c>
      <c r="AD32">
        <v>3</v>
      </c>
      <c r="AE32">
        <v>150</v>
      </c>
      <c r="AF32">
        <v>1693</v>
      </c>
      <c r="AG32">
        <v>3</v>
      </c>
      <c r="AH32">
        <v>6</v>
      </c>
      <c r="AI32">
        <v>30</v>
      </c>
      <c r="AJ32" t="s">
        <v>20</v>
      </c>
      <c r="AK32" t="b">
        <v>1</v>
      </c>
      <c r="AL32">
        <v>0.5</v>
      </c>
      <c r="AM32" t="b">
        <v>1</v>
      </c>
      <c r="AN32">
        <v>7981.2882620182399</v>
      </c>
      <c r="AO32">
        <v>9032.7666577177897</v>
      </c>
      <c r="AP32">
        <v>7982.3700494285404</v>
      </c>
      <c r="AQ32">
        <v>7982.3700494285404</v>
      </c>
      <c r="AR32">
        <v>0</v>
      </c>
      <c r="AS32">
        <v>397270</v>
      </c>
      <c r="AT32">
        <v>3600.4077801704402</v>
      </c>
      <c r="AU32">
        <v>3600</v>
      </c>
    </row>
    <row r="33" spans="1:47" x14ac:dyDescent="0.35">
      <c r="A33">
        <f t="shared" si="0"/>
        <v>16.646612689200918</v>
      </c>
      <c r="B33">
        <f t="shared" si="1"/>
        <v>10.900076479307899</v>
      </c>
      <c r="C33">
        <f t="shared" si="2"/>
        <v>0.14073683397257017</v>
      </c>
      <c r="D33">
        <f t="shared" si="3"/>
        <v>0</v>
      </c>
      <c r="E33">
        <f t="shared" si="4"/>
        <v>0</v>
      </c>
      <c r="G33" t="s">
        <v>41</v>
      </c>
      <c r="H33">
        <v>3</v>
      </c>
      <c r="I33">
        <v>150</v>
      </c>
      <c r="J33">
        <v>1693</v>
      </c>
      <c r="K33">
        <v>3</v>
      </c>
      <c r="L33">
        <v>6</v>
      </c>
      <c r="M33">
        <v>31</v>
      </c>
      <c r="N33" t="s">
        <v>20</v>
      </c>
      <c r="O33" t="b">
        <v>1</v>
      </c>
      <c r="P33">
        <v>0.5</v>
      </c>
      <c r="Q33" t="b">
        <v>0</v>
      </c>
      <c r="R33">
        <v>8269.5156555944995</v>
      </c>
      <c r="S33">
        <v>9646.1098980541501</v>
      </c>
      <c r="T33">
        <v>8281.209789171</v>
      </c>
      <c r="U33">
        <v>8281.1539101130493</v>
      </c>
      <c r="V33">
        <v>0</v>
      </c>
      <c r="W33">
        <v>6239908</v>
      </c>
      <c r="X33">
        <v>3600.1714460849698</v>
      </c>
      <c r="Y33">
        <v>3600</v>
      </c>
      <c r="AC33" t="s">
        <v>41</v>
      </c>
      <c r="AD33">
        <v>3</v>
      </c>
      <c r="AE33">
        <v>150</v>
      </c>
      <c r="AF33">
        <v>1693</v>
      </c>
      <c r="AG33">
        <v>3</v>
      </c>
      <c r="AH33">
        <v>6</v>
      </c>
      <c r="AI33">
        <v>31</v>
      </c>
      <c r="AJ33" t="s">
        <v>20</v>
      </c>
      <c r="AK33" t="b">
        <v>1</v>
      </c>
      <c r="AL33">
        <v>0.5</v>
      </c>
      <c r="AM33" t="b">
        <v>1</v>
      </c>
      <c r="AN33">
        <v>8269.5156555944995</v>
      </c>
      <c r="AO33">
        <v>9170.8991865226399</v>
      </c>
      <c r="AP33">
        <v>8281.1539101130402</v>
      </c>
      <c r="AQ33">
        <v>8281.1539101130493</v>
      </c>
      <c r="AR33">
        <v>0</v>
      </c>
      <c r="AS33">
        <v>350258</v>
      </c>
      <c r="AT33">
        <v>3600.3168089389801</v>
      </c>
      <c r="AU33">
        <v>3600</v>
      </c>
    </row>
    <row r="34" spans="1:47" x14ac:dyDescent="0.35">
      <c r="A34">
        <f t="shared" si="0"/>
        <v>20.215881494305819</v>
      </c>
      <c r="B34">
        <f t="shared" si="1"/>
        <v>15.279370901747072</v>
      </c>
      <c r="C34">
        <f t="shared" si="2"/>
        <v>7.8305461614860655E-2</v>
      </c>
      <c r="D34">
        <f t="shared" si="3"/>
        <v>0</v>
      </c>
      <c r="E34">
        <f t="shared" si="4"/>
        <v>0</v>
      </c>
      <c r="G34" t="s">
        <v>41</v>
      </c>
      <c r="H34">
        <v>3</v>
      </c>
      <c r="I34">
        <v>150</v>
      </c>
      <c r="J34">
        <v>1693</v>
      </c>
      <c r="K34">
        <v>3</v>
      </c>
      <c r="L34">
        <v>6</v>
      </c>
      <c r="M34">
        <v>32</v>
      </c>
      <c r="N34" t="s">
        <v>20</v>
      </c>
      <c r="O34" t="b">
        <v>1</v>
      </c>
      <c r="P34">
        <v>0.5</v>
      </c>
      <c r="Q34" t="b">
        <v>0</v>
      </c>
      <c r="R34">
        <v>8011.0618533269699</v>
      </c>
      <c r="S34">
        <v>9630.5686240310897</v>
      </c>
      <c r="T34">
        <v>8017.4511126024499</v>
      </c>
      <c r="U34">
        <v>8017.3349522914696</v>
      </c>
      <c r="V34">
        <v>0</v>
      </c>
      <c r="W34">
        <v>5119006</v>
      </c>
      <c r="X34">
        <v>3600.2081620693202</v>
      </c>
      <c r="Y34">
        <v>3600</v>
      </c>
      <c r="AC34" t="s">
        <v>41</v>
      </c>
      <c r="AD34">
        <v>3</v>
      </c>
      <c r="AE34">
        <v>150</v>
      </c>
      <c r="AF34">
        <v>1693</v>
      </c>
      <c r="AG34">
        <v>3</v>
      </c>
      <c r="AH34">
        <v>6</v>
      </c>
      <c r="AI34">
        <v>32</v>
      </c>
      <c r="AJ34" t="s">
        <v>20</v>
      </c>
      <c r="AK34" t="b">
        <v>1</v>
      </c>
      <c r="AL34">
        <v>0.5</v>
      </c>
      <c r="AM34" t="b">
        <v>1</v>
      </c>
      <c r="AN34">
        <v>8011.0618533269699</v>
      </c>
      <c r="AO34">
        <v>9235.1017070651706</v>
      </c>
      <c r="AP34">
        <v>8017.3407795537296</v>
      </c>
      <c r="AQ34">
        <v>8017.3349522914696</v>
      </c>
      <c r="AR34">
        <v>0</v>
      </c>
      <c r="AS34">
        <v>212753</v>
      </c>
      <c r="AT34">
        <v>3600.3735990524201</v>
      </c>
      <c r="AU34">
        <v>3600</v>
      </c>
    </row>
    <row r="35" spans="1:47" x14ac:dyDescent="0.35">
      <c r="A35">
        <f t="shared" si="0"/>
        <v>17.966615715412427</v>
      </c>
      <c r="B35">
        <f t="shared" si="1"/>
        <v>11.372474387433487</v>
      </c>
      <c r="C35">
        <f t="shared" si="2"/>
        <v>0</v>
      </c>
      <c r="D35">
        <f t="shared" si="3"/>
        <v>0</v>
      </c>
      <c r="E35">
        <f t="shared" si="4"/>
        <v>0</v>
      </c>
      <c r="G35" t="s">
        <v>41</v>
      </c>
      <c r="H35">
        <v>3</v>
      </c>
      <c r="I35">
        <v>150</v>
      </c>
      <c r="J35">
        <v>1693</v>
      </c>
      <c r="K35">
        <v>3</v>
      </c>
      <c r="L35">
        <v>6</v>
      </c>
      <c r="M35">
        <v>33</v>
      </c>
      <c r="N35" t="s">
        <v>20</v>
      </c>
      <c r="O35" t="b">
        <v>1</v>
      </c>
      <c r="P35">
        <v>0.5</v>
      </c>
      <c r="Q35" t="b">
        <v>0</v>
      </c>
      <c r="R35">
        <v>8105.7007541651001</v>
      </c>
      <c r="S35">
        <v>9562.0208597072306</v>
      </c>
      <c r="T35">
        <v>8105.7507764542597</v>
      </c>
      <c r="U35">
        <v>8105.7007541651001</v>
      </c>
      <c r="V35">
        <v>0</v>
      </c>
      <c r="W35">
        <v>4643771</v>
      </c>
      <c r="X35">
        <v>3600.1467611789699</v>
      </c>
      <c r="Y35">
        <v>3600</v>
      </c>
      <c r="AC35" t="s">
        <v>41</v>
      </c>
      <c r="AD35">
        <v>3</v>
      </c>
      <c r="AE35">
        <v>150</v>
      </c>
      <c r="AF35">
        <v>1693</v>
      </c>
      <c r="AG35">
        <v>3</v>
      </c>
      <c r="AH35">
        <v>6</v>
      </c>
      <c r="AI35">
        <v>33</v>
      </c>
      <c r="AJ35" t="s">
        <v>20</v>
      </c>
      <c r="AK35" t="b">
        <v>1</v>
      </c>
      <c r="AL35">
        <v>0.5</v>
      </c>
      <c r="AM35" t="b">
        <v>1</v>
      </c>
      <c r="AN35">
        <v>8105.7007541651001</v>
      </c>
      <c r="AO35">
        <v>9027.5194963545291</v>
      </c>
      <c r="AP35">
        <v>8105.7007541651101</v>
      </c>
      <c r="AQ35">
        <v>8105.7007541651001</v>
      </c>
      <c r="AR35">
        <v>0</v>
      </c>
      <c r="AS35">
        <v>329112</v>
      </c>
      <c r="AT35">
        <v>3600.3181881904602</v>
      </c>
      <c r="AU35">
        <v>3600</v>
      </c>
    </row>
    <row r="36" spans="1:47" x14ac:dyDescent="0.35">
      <c r="A36">
        <f t="shared" si="0"/>
        <v>16.811753606530452</v>
      </c>
      <c r="B36">
        <f t="shared" si="1"/>
        <v>12.56336439796846</v>
      </c>
      <c r="C36">
        <f t="shared" si="2"/>
        <v>0</v>
      </c>
      <c r="D36">
        <f t="shared" si="3"/>
        <v>0</v>
      </c>
      <c r="E36">
        <f t="shared" si="4"/>
        <v>0</v>
      </c>
      <c r="G36" t="s">
        <v>41</v>
      </c>
      <c r="H36">
        <v>3</v>
      </c>
      <c r="I36">
        <v>150</v>
      </c>
      <c r="J36">
        <v>1693</v>
      </c>
      <c r="K36">
        <v>3</v>
      </c>
      <c r="L36">
        <v>6</v>
      </c>
      <c r="M36">
        <v>34</v>
      </c>
      <c r="N36" t="s">
        <v>20</v>
      </c>
      <c r="O36" t="b">
        <v>1</v>
      </c>
      <c r="P36">
        <v>0.5</v>
      </c>
      <c r="Q36" t="b">
        <v>0</v>
      </c>
      <c r="R36">
        <v>8084.3071327733396</v>
      </c>
      <c r="S36">
        <v>9443.4209287303602</v>
      </c>
      <c r="T36">
        <v>8084.3071327733496</v>
      </c>
      <c r="U36">
        <v>8084.3071327733396</v>
      </c>
      <c r="V36">
        <v>0</v>
      </c>
      <c r="W36">
        <v>3275894</v>
      </c>
      <c r="X36">
        <v>3600.0669450759801</v>
      </c>
      <c r="Y36">
        <v>3600</v>
      </c>
      <c r="AC36" t="s">
        <v>41</v>
      </c>
      <c r="AD36">
        <v>3</v>
      </c>
      <c r="AE36">
        <v>150</v>
      </c>
      <c r="AF36">
        <v>1693</v>
      </c>
      <c r="AG36">
        <v>3</v>
      </c>
      <c r="AH36">
        <v>6</v>
      </c>
      <c r="AI36">
        <v>34</v>
      </c>
      <c r="AJ36" t="s">
        <v>20</v>
      </c>
      <c r="AK36" t="b">
        <v>1</v>
      </c>
      <c r="AL36">
        <v>0.5</v>
      </c>
      <c r="AM36" t="b">
        <v>1</v>
      </c>
      <c r="AN36">
        <v>8084.3071327733396</v>
      </c>
      <c r="AO36">
        <v>9099.9680969146102</v>
      </c>
      <c r="AP36">
        <v>8084.3071327733496</v>
      </c>
      <c r="AQ36">
        <v>8084.3071327733396</v>
      </c>
      <c r="AR36">
        <v>0</v>
      </c>
      <c r="AS36">
        <v>440222</v>
      </c>
      <c r="AT36">
        <v>3600.0909609794599</v>
      </c>
      <c r="AU36">
        <v>3600</v>
      </c>
    </row>
    <row r="37" spans="1:47" x14ac:dyDescent="0.35">
      <c r="A37">
        <f t="shared" si="0"/>
        <v>21.268423840970836</v>
      </c>
      <c r="B37">
        <f t="shared" si="1"/>
        <v>13.715271650537758</v>
      </c>
      <c r="C37">
        <f t="shared" si="2"/>
        <v>0</v>
      </c>
      <c r="D37">
        <f t="shared" si="3"/>
        <v>0</v>
      </c>
      <c r="E37">
        <f t="shared" si="4"/>
        <v>0</v>
      </c>
      <c r="G37" t="s">
        <v>41</v>
      </c>
      <c r="H37">
        <v>3</v>
      </c>
      <c r="I37">
        <v>150</v>
      </c>
      <c r="J37">
        <v>1693</v>
      </c>
      <c r="K37">
        <v>3</v>
      </c>
      <c r="L37">
        <v>6</v>
      </c>
      <c r="M37">
        <v>35</v>
      </c>
      <c r="N37" t="s">
        <v>20</v>
      </c>
      <c r="O37" t="b">
        <v>1</v>
      </c>
      <c r="P37">
        <v>0.5</v>
      </c>
      <c r="Q37" t="b">
        <v>0</v>
      </c>
      <c r="R37">
        <v>8040.8973500071397</v>
      </c>
      <c r="S37">
        <v>9751.0694790240505</v>
      </c>
      <c r="T37">
        <v>8040.9275469989698</v>
      </c>
      <c r="U37">
        <v>8040.8973500071397</v>
      </c>
      <c r="V37">
        <v>0</v>
      </c>
      <c r="W37">
        <v>4335690</v>
      </c>
      <c r="X37">
        <v>3600.1166081428501</v>
      </c>
      <c r="Y37">
        <v>3600</v>
      </c>
      <c r="AC37" t="s">
        <v>41</v>
      </c>
      <c r="AD37">
        <v>3</v>
      </c>
      <c r="AE37">
        <v>150</v>
      </c>
      <c r="AF37">
        <v>1693</v>
      </c>
      <c r="AG37">
        <v>3</v>
      </c>
      <c r="AH37">
        <v>6</v>
      </c>
      <c r="AI37">
        <v>35</v>
      </c>
      <c r="AJ37" t="s">
        <v>20</v>
      </c>
      <c r="AK37" t="b">
        <v>1</v>
      </c>
      <c r="AL37">
        <v>0.5</v>
      </c>
      <c r="AM37" t="b">
        <v>1</v>
      </c>
      <c r="AN37">
        <v>8040.8973500071397</v>
      </c>
      <c r="AO37">
        <v>9143.7282647015109</v>
      </c>
      <c r="AP37">
        <v>8040.8973500071297</v>
      </c>
      <c r="AQ37">
        <v>8040.8973500071397</v>
      </c>
      <c r="AR37">
        <v>0</v>
      </c>
      <c r="AS37">
        <v>394773</v>
      </c>
      <c r="AT37">
        <v>3600.1142930984402</v>
      </c>
      <c r="AU37">
        <v>3600</v>
      </c>
    </row>
    <row r="38" spans="1:47" x14ac:dyDescent="0.35">
      <c r="A38">
        <f t="shared" si="0"/>
        <v>18.490396025272027</v>
      </c>
      <c r="B38">
        <f t="shared" si="1"/>
        <v>14.556649307706312</v>
      </c>
      <c r="C38">
        <f t="shared" si="2"/>
        <v>5.8561369958584748E-2</v>
      </c>
      <c r="D38">
        <f t="shared" si="3"/>
        <v>0</v>
      </c>
      <c r="E38">
        <f t="shared" si="4"/>
        <v>0</v>
      </c>
      <c r="G38" t="s">
        <v>41</v>
      </c>
      <c r="H38">
        <v>3</v>
      </c>
      <c r="I38">
        <v>150</v>
      </c>
      <c r="J38">
        <v>1693</v>
      </c>
      <c r="K38">
        <v>3</v>
      </c>
      <c r="L38">
        <v>6</v>
      </c>
      <c r="M38">
        <v>36</v>
      </c>
      <c r="N38" t="s">
        <v>20</v>
      </c>
      <c r="O38" t="b">
        <v>1</v>
      </c>
      <c r="P38">
        <v>0.5</v>
      </c>
      <c r="Q38" t="b">
        <v>0</v>
      </c>
      <c r="R38">
        <v>8042.1227496234997</v>
      </c>
      <c r="S38">
        <v>9529.1430948673806</v>
      </c>
      <c r="T38">
        <v>8046.8323268794602</v>
      </c>
      <c r="U38">
        <v>8046.8323268794302</v>
      </c>
      <c r="V38">
        <v>0</v>
      </c>
      <c r="W38">
        <v>5355085</v>
      </c>
      <c r="X38">
        <v>3600.12797904014</v>
      </c>
      <c r="Y38">
        <v>3600</v>
      </c>
      <c r="AC38" t="s">
        <v>41</v>
      </c>
      <c r="AD38">
        <v>3</v>
      </c>
      <c r="AE38">
        <v>150</v>
      </c>
      <c r="AF38">
        <v>1693</v>
      </c>
      <c r="AG38">
        <v>3</v>
      </c>
      <c r="AH38">
        <v>6</v>
      </c>
      <c r="AI38">
        <v>36</v>
      </c>
      <c r="AJ38" t="s">
        <v>20</v>
      </c>
      <c r="AK38" t="b">
        <v>1</v>
      </c>
      <c r="AL38">
        <v>0.5</v>
      </c>
      <c r="AM38" t="b">
        <v>1</v>
      </c>
      <c r="AN38">
        <v>8042.1227496234997</v>
      </c>
      <c r="AO38">
        <v>9212.7863551814607</v>
      </c>
      <c r="AP38">
        <v>8046.8323268794302</v>
      </c>
      <c r="AQ38">
        <v>8046.8323268794302</v>
      </c>
      <c r="AR38">
        <v>0</v>
      </c>
      <c r="AS38">
        <v>372460</v>
      </c>
      <c r="AT38">
        <v>3600.34468102455</v>
      </c>
      <c r="AU38">
        <v>3600</v>
      </c>
    </row>
    <row r="39" spans="1:47" x14ac:dyDescent="0.35">
      <c r="A39">
        <f t="shared" si="0"/>
        <v>19.022176941352502</v>
      </c>
      <c r="B39">
        <f t="shared" si="1"/>
        <v>12.61625216600758</v>
      </c>
      <c r="C39">
        <f t="shared" si="2"/>
        <v>0.10206841773373432</v>
      </c>
      <c r="D39">
        <f t="shared" si="3"/>
        <v>0</v>
      </c>
      <c r="E39">
        <f t="shared" si="4"/>
        <v>0</v>
      </c>
      <c r="G39" t="s">
        <v>41</v>
      </c>
      <c r="H39">
        <v>3</v>
      </c>
      <c r="I39">
        <v>150</v>
      </c>
      <c r="J39">
        <v>1693</v>
      </c>
      <c r="K39">
        <v>3</v>
      </c>
      <c r="L39">
        <v>6</v>
      </c>
      <c r="M39">
        <v>37</v>
      </c>
      <c r="N39" t="s">
        <v>20</v>
      </c>
      <c r="O39" t="b">
        <v>1</v>
      </c>
      <c r="P39">
        <v>0.5</v>
      </c>
      <c r="Q39" t="b">
        <v>0</v>
      </c>
      <c r="R39">
        <v>8245.5186884582108</v>
      </c>
      <c r="S39">
        <v>9813.9958431090199</v>
      </c>
      <c r="T39">
        <v>8254.0210228295091</v>
      </c>
      <c r="U39">
        <v>8253.9347589174595</v>
      </c>
      <c r="V39">
        <v>0</v>
      </c>
      <c r="W39">
        <v>4777205</v>
      </c>
      <c r="X39">
        <v>3600.0814719200098</v>
      </c>
      <c r="Y39">
        <v>3600</v>
      </c>
      <c r="AC39" t="s">
        <v>41</v>
      </c>
      <c r="AD39">
        <v>3</v>
      </c>
      <c r="AE39">
        <v>150</v>
      </c>
      <c r="AF39">
        <v>1693</v>
      </c>
      <c r="AG39">
        <v>3</v>
      </c>
      <c r="AH39">
        <v>6</v>
      </c>
      <c r="AI39">
        <v>37</v>
      </c>
      <c r="AJ39" t="s">
        <v>20</v>
      </c>
      <c r="AK39" t="b">
        <v>1</v>
      </c>
      <c r="AL39">
        <v>0.5</v>
      </c>
      <c r="AM39" t="b">
        <v>1</v>
      </c>
      <c r="AN39">
        <v>8245.5186884582108</v>
      </c>
      <c r="AO39">
        <v>9285.7941185893797</v>
      </c>
      <c r="AP39">
        <v>8253.9347589174595</v>
      </c>
      <c r="AQ39">
        <v>8253.9347589174595</v>
      </c>
      <c r="AR39">
        <v>0</v>
      </c>
      <c r="AS39">
        <v>358088</v>
      </c>
      <c r="AT39">
        <v>3600.1357579231199</v>
      </c>
      <c r="AU39">
        <v>3600</v>
      </c>
    </row>
    <row r="40" spans="1:47" x14ac:dyDescent="0.35">
      <c r="A40">
        <f t="shared" si="0"/>
        <v>15.759683144283457</v>
      </c>
      <c r="B40">
        <f t="shared" si="1"/>
        <v>10.502133700308166</v>
      </c>
      <c r="C40">
        <f t="shared" si="2"/>
        <v>0</v>
      </c>
      <c r="D40">
        <f t="shared" si="3"/>
        <v>0</v>
      </c>
      <c r="E40">
        <f t="shared" si="4"/>
        <v>0</v>
      </c>
      <c r="G40" t="s">
        <v>41</v>
      </c>
      <c r="H40">
        <v>3</v>
      </c>
      <c r="I40">
        <v>150</v>
      </c>
      <c r="J40">
        <v>1693</v>
      </c>
      <c r="K40">
        <v>3</v>
      </c>
      <c r="L40">
        <v>6</v>
      </c>
      <c r="M40">
        <v>38</v>
      </c>
      <c r="N40" t="s">
        <v>20</v>
      </c>
      <c r="O40" t="b">
        <v>1</v>
      </c>
      <c r="P40">
        <v>0.5</v>
      </c>
      <c r="Q40" t="b">
        <v>0</v>
      </c>
      <c r="R40">
        <v>8107.21031610297</v>
      </c>
      <c r="S40">
        <v>9384.8809737614592</v>
      </c>
      <c r="T40">
        <v>8107.21031610297</v>
      </c>
      <c r="U40">
        <v>8107.21031610297</v>
      </c>
      <c r="V40">
        <v>0</v>
      </c>
      <c r="W40">
        <v>5345101</v>
      </c>
      <c r="X40">
        <v>3600.1167941093399</v>
      </c>
      <c r="Y40">
        <v>3600</v>
      </c>
      <c r="AC40" t="s">
        <v>41</v>
      </c>
      <c r="AD40">
        <v>3</v>
      </c>
      <c r="AE40">
        <v>150</v>
      </c>
      <c r="AF40">
        <v>1693</v>
      </c>
      <c r="AG40">
        <v>3</v>
      </c>
      <c r="AH40">
        <v>6</v>
      </c>
      <c r="AI40">
        <v>38</v>
      </c>
      <c r="AJ40" t="s">
        <v>20</v>
      </c>
      <c r="AK40" t="b">
        <v>1</v>
      </c>
      <c r="AL40">
        <v>0.5</v>
      </c>
      <c r="AM40" t="b">
        <v>1</v>
      </c>
      <c r="AN40">
        <v>8107.21031610297</v>
      </c>
      <c r="AO40">
        <v>8958.6403828652801</v>
      </c>
      <c r="AP40">
        <v>8107.21031610297</v>
      </c>
      <c r="AQ40">
        <v>8107.21031610297</v>
      </c>
      <c r="AR40">
        <v>0</v>
      </c>
      <c r="AS40">
        <v>301209</v>
      </c>
      <c r="AT40">
        <v>3600.53171181678</v>
      </c>
      <c r="AU40">
        <v>3600</v>
      </c>
    </row>
    <row r="41" spans="1:47" x14ac:dyDescent="0.35">
      <c r="A41">
        <f t="shared" si="0"/>
        <v>18.452182022978658</v>
      </c>
      <c r="B41">
        <f t="shared" si="1"/>
        <v>12.836025739509823</v>
      </c>
      <c r="C41">
        <f t="shared" si="2"/>
        <v>0.5585205719316495</v>
      </c>
      <c r="D41">
        <f t="shared" si="3"/>
        <v>0</v>
      </c>
      <c r="E41">
        <f t="shared" si="4"/>
        <v>0</v>
      </c>
      <c r="G41" t="s">
        <v>41</v>
      </c>
      <c r="H41">
        <v>3</v>
      </c>
      <c r="I41">
        <v>150</v>
      </c>
      <c r="J41">
        <v>1693</v>
      </c>
      <c r="K41">
        <v>3</v>
      </c>
      <c r="L41">
        <v>6</v>
      </c>
      <c r="M41">
        <v>39</v>
      </c>
      <c r="N41" t="s">
        <v>20</v>
      </c>
      <c r="O41" t="b">
        <v>1</v>
      </c>
      <c r="P41">
        <v>0.5</v>
      </c>
      <c r="Q41" t="b">
        <v>0</v>
      </c>
      <c r="R41">
        <v>8121.3869332285103</v>
      </c>
      <c r="S41">
        <v>9619.9600329382392</v>
      </c>
      <c r="T41">
        <v>8166.7864752865798</v>
      </c>
      <c r="U41">
        <v>8166.7465499767604</v>
      </c>
      <c r="V41">
        <v>0</v>
      </c>
      <c r="W41">
        <v>5517655</v>
      </c>
      <c r="X41">
        <v>3600.2033641338298</v>
      </c>
      <c r="Y41">
        <v>3600</v>
      </c>
      <c r="AC41" t="s">
        <v>41</v>
      </c>
      <c r="AD41">
        <v>3</v>
      </c>
      <c r="AE41">
        <v>150</v>
      </c>
      <c r="AF41">
        <v>1693</v>
      </c>
      <c r="AG41">
        <v>3</v>
      </c>
      <c r="AH41">
        <v>6</v>
      </c>
      <c r="AI41">
        <v>39</v>
      </c>
      <c r="AJ41" t="s">
        <v>20</v>
      </c>
      <c r="AK41" t="b">
        <v>1</v>
      </c>
      <c r="AL41">
        <v>0.5</v>
      </c>
      <c r="AM41" t="b">
        <v>1</v>
      </c>
      <c r="AN41">
        <v>8121.3869332285103</v>
      </c>
      <c r="AO41">
        <v>9163.8502503829095</v>
      </c>
      <c r="AP41">
        <v>8166.7465499767704</v>
      </c>
      <c r="AQ41">
        <v>8166.7465499767604</v>
      </c>
      <c r="AR41">
        <v>0</v>
      </c>
      <c r="AS41">
        <v>276361</v>
      </c>
      <c r="AT41">
        <v>3600.25776314735</v>
      </c>
      <c r="AU41">
        <v>3600</v>
      </c>
    </row>
    <row r="42" spans="1:47" x14ac:dyDescent="0.35">
      <c r="A42">
        <f t="shared" si="0"/>
        <v>18.262810037862849</v>
      </c>
      <c r="B42">
        <f t="shared" si="1"/>
        <v>13.962674770216557</v>
      </c>
      <c r="C42">
        <f t="shared" si="2"/>
        <v>-1.229767989035286E-13</v>
      </c>
      <c r="D42">
        <f t="shared" si="3"/>
        <v>0</v>
      </c>
      <c r="E42">
        <f t="shared" si="4"/>
        <v>0</v>
      </c>
      <c r="G42" t="s">
        <v>41</v>
      </c>
      <c r="H42">
        <v>3</v>
      </c>
      <c r="I42">
        <v>150</v>
      </c>
      <c r="J42">
        <v>1693</v>
      </c>
      <c r="K42">
        <v>3</v>
      </c>
      <c r="L42">
        <v>6</v>
      </c>
      <c r="M42">
        <v>40</v>
      </c>
      <c r="N42" t="s">
        <v>20</v>
      </c>
      <c r="O42" t="b">
        <v>1</v>
      </c>
      <c r="P42">
        <v>0.5</v>
      </c>
      <c r="Q42" t="b">
        <v>0</v>
      </c>
      <c r="R42">
        <v>8135.2269767164598</v>
      </c>
      <c r="S42">
        <v>9620.94802562316</v>
      </c>
      <c r="T42">
        <v>8135.2942537795698</v>
      </c>
      <c r="U42">
        <v>8135.2269767164498</v>
      </c>
      <c r="V42">
        <v>0</v>
      </c>
      <c r="W42">
        <v>4960780</v>
      </c>
      <c r="X42">
        <v>3600.1296780109401</v>
      </c>
      <c r="Y42">
        <v>3600</v>
      </c>
      <c r="AC42" t="s">
        <v>41</v>
      </c>
      <c r="AD42">
        <v>3</v>
      </c>
      <c r="AE42">
        <v>150</v>
      </c>
      <c r="AF42">
        <v>1693</v>
      </c>
      <c r="AG42">
        <v>3</v>
      </c>
      <c r="AH42">
        <v>6</v>
      </c>
      <c r="AI42">
        <v>40</v>
      </c>
      <c r="AJ42" t="s">
        <v>20</v>
      </c>
      <c r="AK42" t="b">
        <v>1</v>
      </c>
      <c r="AL42">
        <v>0.5</v>
      </c>
      <c r="AM42" t="b">
        <v>1</v>
      </c>
      <c r="AN42">
        <v>8135.2269767164598</v>
      </c>
      <c r="AO42">
        <v>9271.1222612943002</v>
      </c>
      <c r="AP42">
        <v>8135.2269878139296</v>
      </c>
      <c r="AQ42">
        <v>8135.2269767164498</v>
      </c>
      <c r="AR42">
        <v>0</v>
      </c>
      <c r="AS42">
        <v>280251</v>
      </c>
      <c r="AT42">
        <v>3600.47234010696</v>
      </c>
      <c r="AU42">
        <v>3600</v>
      </c>
    </row>
    <row r="43" spans="1:47" x14ac:dyDescent="0.35">
      <c r="A43">
        <f t="shared" si="0"/>
        <v>14.648391711676521</v>
      </c>
      <c r="B43">
        <f t="shared" si="1"/>
        <v>14.602454858886144</v>
      </c>
      <c r="C43">
        <f t="shared" si="2"/>
        <v>0</v>
      </c>
      <c r="D43">
        <f t="shared" si="3"/>
        <v>0</v>
      </c>
      <c r="E43">
        <f t="shared" si="4"/>
        <v>0</v>
      </c>
      <c r="G43" t="s">
        <v>41</v>
      </c>
      <c r="H43">
        <v>3</v>
      </c>
      <c r="I43">
        <v>150</v>
      </c>
      <c r="J43">
        <v>1693</v>
      </c>
      <c r="K43">
        <v>3</v>
      </c>
      <c r="L43">
        <v>6</v>
      </c>
      <c r="M43">
        <v>41</v>
      </c>
      <c r="N43" t="s">
        <v>20</v>
      </c>
      <c r="O43" t="b">
        <v>1</v>
      </c>
      <c r="P43">
        <v>0.5</v>
      </c>
      <c r="Q43" t="b">
        <v>0</v>
      </c>
      <c r="R43">
        <v>8028.1970705297699</v>
      </c>
      <c r="S43">
        <v>9204.1988248063099</v>
      </c>
      <c r="T43">
        <v>8028.3503943693404</v>
      </c>
      <c r="U43">
        <v>8028.1970705297699</v>
      </c>
      <c r="V43">
        <v>0</v>
      </c>
      <c r="W43">
        <v>4654917</v>
      </c>
      <c r="X43">
        <v>3600.1187078952698</v>
      </c>
      <c r="Y43">
        <v>3600</v>
      </c>
      <c r="AC43" t="s">
        <v>41</v>
      </c>
      <c r="AD43">
        <v>3</v>
      </c>
      <c r="AE43">
        <v>150</v>
      </c>
      <c r="AF43">
        <v>1693</v>
      </c>
      <c r="AG43">
        <v>3</v>
      </c>
      <c r="AH43">
        <v>6</v>
      </c>
      <c r="AI43">
        <v>41</v>
      </c>
      <c r="AJ43" t="s">
        <v>20</v>
      </c>
      <c r="AK43" t="b">
        <v>1</v>
      </c>
      <c r="AL43">
        <v>0.5</v>
      </c>
      <c r="AM43" t="b">
        <v>1</v>
      </c>
      <c r="AN43">
        <v>8028.1970705297699</v>
      </c>
      <c r="AO43">
        <v>9200.5109237362994</v>
      </c>
      <c r="AP43">
        <v>8028.1970705297699</v>
      </c>
      <c r="AQ43">
        <v>8028.1970705297699</v>
      </c>
      <c r="AR43">
        <v>0</v>
      </c>
      <c r="AS43">
        <v>337447</v>
      </c>
      <c r="AT43">
        <v>3600.4056589603401</v>
      </c>
      <c r="AU43">
        <v>3600</v>
      </c>
    </row>
    <row r="44" spans="1:47" x14ac:dyDescent="0.35">
      <c r="A44">
        <f t="shared" si="0"/>
        <v>17.102628120736995</v>
      </c>
      <c r="B44">
        <f t="shared" si="1"/>
        <v>10.881567354539985</v>
      </c>
      <c r="C44">
        <f t="shared" si="2"/>
        <v>8.3996987576927563E-3</v>
      </c>
      <c r="D44">
        <f t="shared" si="3"/>
        <v>0</v>
      </c>
      <c r="E44">
        <f t="shared" si="4"/>
        <v>0</v>
      </c>
      <c r="G44" t="s">
        <v>41</v>
      </c>
      <c r="H44">
        <v>3</v>
      </c>
      <c r="I44">
        <v>150</v>
      </c>
      <c r="J44">
        <v>1693</v>
      </c>
      <c r="K44">
        <v>3</v>
      </c>
      <c r="L44">
        <v>6</v>
      </c>
      <c r="M44">
        <v>42</v>
      </c>
      <c r="N44" t="s">
        <v>20</v>
      </c>
      <c r="O44" t="b">
        <v>1</v>
      </c>
      <c r="P44">
        <v>0.5</v>
      </c>
      <c r="Q44" t="b">
        <v>0</v>
      </c>
      <c r="R44">
        <v>8067.21662391888</v>
      </c>
      <c r="S44">
        <v>9446.9226828020001</v>
      </c>
      <c r="T44">
        <v>8067.8942458134297</v>
      </c>
      <c r="U44">
        <v>8067.8942458134197</v>
      </c>
      <c r="V44">
        <v>0</v>
      </c>
      <c r="W44">
        <v>4997695</v>
      </c>
      <c r="X44">
        <v>3600.1930649280498</v>
      </c>
      <c r="Y44">
        <v>3600</v>
      </c>
      <c r="AC44" t="s">
        <v>41</v>
      </c>
      <c r="AD44">
        <v>3</v>
      </c>
      <c r="AE44">
        <v>150</v>
      </c>
      <c r="AF44">
        <v>1693</v>
      </c>
      <c r="AG44">
        <v>3</v>
      </c>
      <c r="AH44">
        <v>6</v>
      </c>
      <c r="AI44">
        <v>42</v>
      </c>
      <c r="AJ44" t="s">
        <v>20</v>
      </c>
      <c r="AK44" t="b">
        <v>1</v>
      </c>
      <c r="AL44">
        <v>0.5</v>
      </c>
      <c r="AM44" t="b">
        <v>1</v>
      </c>
      <c r="AN44">
        <v>8067.21662391888</v>
      </c>
      <c r="AO44">
        <v>8945.0562344872596</v>
      </c>
      <c r="AP44">
        <v>8067.8942458134197</v>
      </c>
      <c r="AQ44">
        <v>8067.8942458134197</v>
      </c>
      <c r="AR44">
        <v>0</v>
      </c>
      <c r="AS44">
        <v>400009</v>
      </c>
      <c r="AT44">
        <v>3600.7368988990702</v>
      </c>
      <c r="AU44">
        <v>3600</v>
      </c>
    </row>
    <row r="45" spans="1:47" x14ac:dyDescent="0.35">
      <c r="A45">
        <f t="shared" si="0"/>
        <v>16.823791098325025</v>
      </c>
      <c r="B45">
        <f t="shared" si="1"/>
        <v>14.398247573684875</v>
      </c>
      <c r="C45">
        <f t="shared" si="2"/>
        <v>0</v>
      </c>
      <c r="D45">
        <f t="shared" si="3"/>
        <v>0</v>
      </c>
      <c r="E45">
        <f t="shared" si="4"/>
        <v>0</v>
      </c>
      <c r="G45" t="s">
        <v>41</v>
      </c>
      <c r="H45">
        <v>3</v>
      </c>
      <c r="I45">
        <v>150</v>
      </c>
      <c r="J45">
        <v>1693</v>
      </c>
      <c r="K45">
        <v>3</v>
      </c>
      <c r="L45">
        <v>6</v>
      </c>
      <c r="M45">
        <v>43</v>
      </c>
      <c r="N45" t="s">
        <v>20</v>
      </c>
      <c r="O45" t="b">
        <v>1</v>
      </c>
      <c r="P45">
        <v>0.5</v>
      </c>
      <c r="Q45" t="b">
        <v>0</v>
      </c>
      <c r="R45">
        <v>8032.2221246866102</v>
      </c>
      <c r="S45">
        <v>9383.5463954973293</v>
      </c>
      <c r="T45">
        <v>8032.2221246866202</v>
      </c>
      <c r="U45">
        <v>8032.2221246866102</v>
      </c>
      <c r="V45">
        <v>0</v>
      </c>
      <c r="W45">
        <v>6072078</v>
      </c>
      <c r="X45">
        <v>3600.2318439483602</v>
      </c>
      <c r="Y45">
        <v>3600</v>
      </c>
      <c r="AC45" t="s">
        <v>41</v>
      </c>
      <c r="AD45">
        <v>3</v>
      </c>
      <c r="AE45">
        <v>150</v>
      </c>
      <c r="AF45">
        <v>1693</v>
      </c>
      <c r="AG45">
        <v>3</v>
      </c>
      <c r="AH45">
        <v>6</v>
      </c>
      <c r="AI45">
        <v>43</v>
      </c>
      <c r="AJ45" t="s">
        <v>20</v>
      </c>
      <c r="AK45" t="b">
        <v>1</v>
      </c>
      <c r="AL45">
        <v>0.5</v>
      </c>
      <c r="AM45" t="b">
        <v>1</v>
      </c>
      <c r="AN45">
        <v>8032.2221246866102</v>
      </c>
      <c r="AO45">
        <v>9188.7213518672797</v>
      </c>
      <c r="AP45">
        <v>8032.2221246866202</v>
      </c>
      <c r="AQ45">
        <v>8032.2221246866102</v>
      </c>
      <c r="AR45">
        <v>0</v>
      </c>
      <c r="AS45">
        <v>262126</v>
      </c>
      <c r="AT45">
        <v>3600.47847008705</v>
      </c>
      <c r="AU45">
        <v>3600</v>
      </c>
    </row>
    <row r="46" spans="1:47" x14ac:dyDescent="0.35">
      <c r="A46">
        <f t="shared" si="0"/>
        <v>19.812636056269746</v>
      </c>
      <c r="B46">
        <f t="shared" si="1"/>
        <v>13.546601754693038</v>
      </c>
      <c r="C46">
        <f t="shared" si="2"/>
        <v>6.1344102876950052E-2</v>
      </c>
      <c r="D46">
        <f t="shared" si="3"/>
        <v>0</v>
      </c>
      <c r="E46">
        <f t="shared" si="4"/>
        <v>0</v>
      </c>
      <c r="G46" t="s">
        <v>41</v>
      </c>
      <c r="H46">
        <v>3</v>
      </c>
      <c r="I46">
        <v>150</v>
      </c>
      <c r="J46">
        <v>1693</v>
      </c>
      <c r="K46">
        <v>3</v>
      </c>
      <c r="L46">
        <v>6</v>
      </c>
      <c r="M46">
        <v>44</v>
      </c>
      <c r="N46" t="s">
        <v>20</v>
      </c>
      <c r="O46" t="b">
        <v>1</v>
      </c>
      <c r="P46">
        <v>0.5</v>
      </c>
      <c r="Q46" t="b">
        <v>0</v>
      </c>
      <c r="R46">
        <v>8102.6869788295598</v>
      </c>
      <c r="S46">
        <v>9708.0428607238191</v>
      </c>
      <c r="T46">
        <v>8107.8231149426401</v>
      </c>
      <c r="U46">
        <v>8107.6574994656503</v>
      </c>
      <c r="V46">
        <v>0</v>
      </c>
      <c r="W46">
        <v>5553495</v>
      </c>
      <c r="X46">
        <v>3600.1042339801702</v>
      </c>
      <c r="Y46">
        <v>3600</v>
      </c>
      <c r="AC46" t="s">
        <v>41</v>
      </c>
      <c r="AD46">
        <v>3</v>
      </c>
      <c r="AE46">
        <v>150</v>
      </c>
      <c r="AF46">
        <v>1693</v>
      </c>
      <c r="AG46">
        <v>3</v>
      </c>
      <c r="AH46">
        <v>6</v>
      </c>
      <c r="AI46">
        <v>44</v>
      </c>
      <c r="AJ46" t="s">
        <v>20</v>
      </c>
      <c r="AK46" t="b">
        <v>1</v>
      </c>
      <c r="AL46">
        <v>0.5</v>
      </c>
      <c r="AM46" t="b">
        <v>1</v>
      </c>
      <c r="AN46">
        <v>8102.6869788295598</v>
      </c>
      <c r="AO46">
        <v>9200.3257152809692</v>
      </c>
      <c r="AP46">
        <v>8107.6575103841597</v>
      </c>
      <c r="AQ46">
        <v>8107.6574994656503</v>
      </c>
      <c r="AR46">
        <v>0</v>
      </c>
      <c r="AS46">
        <v>314895</v>
      </c>
      <c r="AT46">
        <v>3600.3828330039901</v>
      </c>
      <c r="AU46">
        <v>3600</v>
      </c>
    </row>
    <row r="47" spans="1:47" x14ac:dyDescent="0.35">
      <c r="A47">
        <f t="shared" si="0"/>
        <v>20.114443512623946</v>
      </c>
      <c r="B47">
        <f t="shared" si="1"/>
        <v>13.125332065525877</v>
      </c>
      <c r="C47">
        <f t="shared" si="2"/>
        <v>2.4071467901118984E-2</v>
      </c>
      <c r="D47">
        <f t="shared" si="3"/>
        <v>0</v>
      </c>
      <c r="E47">
        <f t="shared" si="4"/>
        <v>0</v>
      </c>
      <c r="G47" t="s">
        <v>41</v>
      </c>
      <c r="H47">
        <v>3</v>
      </c>
      <c r="I47">
        <v>150</v>
      </c>
      <c r="J47">
        <v>1693</v>
      </c>
      <c r="K47">
        <v>3</v>
      </c>
      <c r="L47">
        <v>6</v>
      </c>
      <c r="M47">
        <v>45</v>
      </c>
      <c r="N47" t="s">
        <v>20</v>
      </c>
      <c r="O47" t="b">
        <v>1</v>
      </c>
      <c r="P47">
        <v>0.5</v>
      </c>
      <c r="Q47" t="b">
        <v>0</v>
      </c>
      <c r="R47">
        <v>8045.6523500158</v>
      </c>
      <c r="S47">
        <v>9663.9905471818292</v>
      </c>
      <c r="T47">
        <v>8047.7407082227601</v>
      </c>
      <c r="U47">
        <v>8047.5890566386697</v>
      </c>
      <c r="V47">
        <v>0</v>
      </c>
      <c r="W47">
        <v>4850703</v>
      </c>
      <c r="X47">
        <v>3600.1188969612099</v>
      </c>
      <c r="Y47">
        <v>3600</v>
      </c>
      <c r="AC47" t="s">
        <v>41</v>
      </c>
      <c r="AD47">
        <v>3</v>
      </c>
      <c r="AE47">
        <v>150</v>
      </c>
      <c r="AF47">
        <v>1693</v>
      </c>
      <c r="AG47">
        <v>3</v>
      </c>
      <c r="AH47">
        <v>6</v>
      </c>
      <c r="AI47">
        <v>45</v>
      </c>
      <c r="AJ47" t="s">
        <v>20</v>
      </c>
      <c r="AK47" t="b">
        <v>1</v>
      </c>
      <c r="AL47">
        <v>0.5</v>
      </c>
      <c r="AM47" t="b">
        <v>1</v>
      </c>
      <c r="AN47">
        <v>8045.6523500158</v>
      </c>
      <c r="AO47">
        <v>9101.6709377931602</v>
      </c>
      <c r="AP47">
        <v>8047.6019999037298</v>
      </c>
      <c r="AQ47">
        <v>8047.5890566386697</v>
      </c>
      <c r="AR47">
        <v>0</v>
      </c>
      <c r="AS47">
        <v>299556</v>
      </c>
      <c r="AT47">
        <v>3600.3567080497701</v>
      </c>
      <c r="AU47">
        <v>3600</v>
      </c>
    </row>
    <row r="48" spans="1:47" x14ac:dyDescent="0.35">
      <c r="A48">
        <f t="shared" si="0"/>
        <v>18.269610881142796</v>
      </c>
      <c r="B48">
        <f t="shared" si="1"/>
        <v>14.252023277162792</v>
      </c>
      <c r="C48">
        <f t="shared" si="2"/>
        <v>0</v>
      </c>
      <c r="D48">
        <f t="shared" si="3"/>
        <v>0</v>
      </c>
      <c r="E48">
        <f t="shared" si="4"/>
        <v>0</v>
      </c>
      <c r="G48" t="s">
        <v>41</v>
      </c>
      <c r="H48">
        <v>3</v>
      </c>
      <c r="I48">
        <v>150</v>
      </c>
      <c r="J48">
        <v>1693</v>
      </c>
      <c r="K48">
        <v>3</v>
      </c>
      <c r="L48">
        <v>6</v>
      </c>
      <c r="M48">
        <v>46</v>
      </c>
      <c r="N48" t="s">
        <v>20</v>
      </c>
      <c r="O48" t="b">
        <v>1</v>
      </c>
      <c r="P48">
        <v>0.5</v>
      </c>
      <c r="Q48" t="b">
        <v>0</v>
      </c>
      <c r="R48">
        <v>8174.86494877721</v>
      </c>
      <c r="S48">
        <v>9668.3809649777395</v>
      </c>
      <c r="T48">
        <v>8174.91723255132</v>
      </c>
      <c r="U48">
        <v>8174.86494877721</v>
      </c>
      <c r="V48">
        <v>0</v>
      </c>
      <c r="W48">
        <v>5381145</v>
      </c>
      <c r="X48">
        <v>3600.0926001071898</v>
      </c>
      <c r="Y48">
        <v>3600</v>
      </c>
      <c r="AC48" t="s">
        <v>41</v>
      </c>
      <c r="AD48">
        <v>3</v>
      </c>
      <c r="AE48">
        <v>150</v>
      </c>
      <c r="AF48">
        <v>1693</v>
      </c>
      <c r="AG48">
        <v>3</v>
      </c>
      <c r="AH48">
        <v>6</v>
      </c>
      <c r="AI48">
        <v>46</v>
      </c>
      <c r="AJ48" t="s">
        <v>20</v>
      </c>
      <c r="AK48" t="b">
        <v>1</v>
      </c>
      <c r="AL48">
        <v>0.5</v>
      </c>
      <c r="AM48" t="b">
        <v>1</v>
      </c>
      <c r="AN48">
        <v>8174.86494877721</v>
      </c>
      <c r="AO48">
        <v>9339.9486041535602</v>
      </c>
      <c r="AP48">
        <v>8174.8992835365498</v>
      </c>
      <c r="AQ48">
        <v>8174.86494877721</v>
      </c>
      <c r="AR48">
        <v>0</v>
      </c>
      <c r="AS48">
        <v>308429</v>
      </c>
      <c r="AT48">
        <v>3600.4211249351501</v>
      </c>
      <c r="AU48">
        <v>3600</v>
      </c>
    </row>
    <row r="49" spans="1:47" x14ac:dyDescent="0.35">
      <c r="A49">
        <f t="shared" si="0"/>
        <v>20.86785351386559</v>
      </c>
      <c r="B49">
        <f t="shared" si="1"/>
        <v>13.355666238642225</v>
      </c>
      <c r="C49">
        <f t="shared" si="2"/>
        <v>9.5827511533025822E-2</v>
      </c>
      <c r="D49">
        <f t="shared" si="3"/>
        <v>0</v>
      </c>
      <c r="E49">
        <f t="shared" si="4"/>
        <v>0</v>
      </c>
      <c r="G49" t="s">
        <v>41</v>
      </c>
      <c r="H49">
        <v>3</v>
      </c>
      <c r="I49">
        <v>150</v>
      </c>
      <c r="J49">
        <v>1693</v>
      </c>
      <c r="K49">
        <v>3</v>
      </c>
      <c r="L49">
        <v>6</v>
      </c>
      <c r="M49">
        <v>47</v>
      </c>
      <c r="N49" t="s">
        <v>20</v>
      </c>
      <c r="O49" t="b">
        <v>1</v>
      </c>
      <c r="P49">
        <v>0.5</v>
      </c>
      <c r="Q49" t="b">
        <v>0</v>
      </c>
      <c r="R49">
        <v>8071.4166087728699</v>
      </c>
      <c r="S49">
        <v>9755.7480031854102</v>
      </c>
      <c r="T49">
        <v>8071.5124449291998</v>
      </c>
      <c r="U49">
        <v>8071.4166087728699</v>
      </c>
      <c r="V49">
        <v>0</v>
      </c>
      <c r="W49">
        <v>4686528</v>
      </c>
      <c r="X49">
        <v>3600.1104061603501</v>
      </c>
      <c r="Y49">
        <v>3600</v>
      </c>
      <c r="AC49" t="s">
        <v>41</v>
      </c>
      <c r="AD49">
        <v>3</v>
      </c>
      <c r="AE49">
        <v>150</v>
      </c>
      <c r="AF49">
        <v>1693</v>
      </c>
      <c r="AG49">
        <v>3</v>
      </c>
      <c r="AH49">
        <v>6</v>
      </c>
      <c r="AI49">
        <v>47</v>
      </c>
      <c r="AJ49" t="s">
        <v>20</v>
      </c>
      <c r="AK49" t="b">
        <v>1</v>
      </c>
      <c r="AL49">
        <v>0.5</v>
      </c>
      <c r="AM49" t="b">
        <v>1</v>
      </c>
      <c r="AN49">
        <v>8071.4166087728699</v>
      </c>
      <c r="AO49">
        <v>9149.4080717709094</v>
      </c>
      <c r="AP49">
        <v>8079.1997570229296</v>
      </c>
      <c r="AQ49">
        <v>8079.1512464545203</v>
      </c>
      <c r="AR49">
        <v>0</v>
      </c>
      <c r="AS49">
        <v>210094</v>
      </c>
      <c r="AT49">
        <v>3600.1473598480202</v>
      </c>
      <c r="AU49">
        <v>3600</v>
      </c>
    </row>
    <row r="50" spans="1:47" x14ac:dyDescent="0.35">
      <c r="A50">
        <f t="shared" si="0"/>
        <v>17.733103946148219</v>
      </c>
      <c r="B50">
        <f t="shared" si="1"/>
        <v>11.78115256145656</v>
      </c>
      <c r="C50">
        <f t="shared" si="2"/>
        <v>0</v>
      </c>
      <c r="D50">
        <f t="shared" si="3"/>
        <v>0</v>
      </c>
      <c r="E50">
        <f t="shared" si="4"/>
        <v>0</v>
      </c>
      <c r="G50" t="s">
        <v>41</v>
      </c>
      <c r="H50">
        <v>3</v>
      </c>
      <c r="I50">
        <v>150</v>
      </c>
      <c r="J50">
        <v>1693</v>
      </c>
      <c r="K50">
        <v>3</v>
      </c>
      <c r="L50">
        <v>6</v>
      </c>
      <c r="M50">
        <v>48</v>
      </c>
      <c r="N50" t="s">
        <v>20</v>
      </c>
      <c r="O50" t="b">
        <v>1</v>
      </c>
      <c r="P50">
        <v>0.5</v>
      </c>
      <c r="Q50" t="b">
        <v>0</v>
      </c>
      <c r="R50">
        <v>8070.99440237825</v>
      </c>
      <c r="S50">
        <v>9502.2322292397894</v>
      </c>
      <c r="T50">
        <v>8070.99440237825</v>
      </c>
      <c r="U50">
        <v>8070.99440237825</v>
      </c>
      <c r="V50">
        <v>0</v>
      </c>
      <c r="W50">
        <v>5297388</v>
      </c>
      <c r="X50">
        <v>3600.11534810066</v>
      </c>
      <c r="Y50">
        <v>3600</v>
      </c>
      <c r="AC50" t="s">
        <v>41</v>
      </c>
      <c r="AD50">
        <v>3</v>
      </c>
      <c r="AE50">
        <v>150</v>
      </c>
      <c r="AF50">
        <v>1693</v>
      </c>
      <c r="AG50">
        <v>3</v>
      </c>
      <c r="AH50">
        <v>6</v>
      </c>
      <c r="AI50">
        <v>48</v>
      </c>
      <c r="AJ50" t="s">
        <v>20</v>
      </c>
      <c r="AK50" t="b">
        <v>1</v>
      </c>
      <c r="AL50">
        <v>0.5</v>
      </c>
      <c r="AM50" t="b">
        <v>1</v>
      </c>
      <c r="AN50">
        <v>8070.99440237825</v>
      </c>
      <c r="AO50">
        <v>9021.8505661490508</v>
      </c>
      <c r="AP50">
        <v>8070.99440237825</v>
      </c>
      <c r="AQ50">
        <v>8070.99440237825</v>
      </c>
      <c r="AR50">
        <v>0</v>
      </c>
      <c r="AS50">
        <v>368649</v>
      </c>
      <c r="AT50">
        <v>3600.3288269042901</v>
      </c>
      <c r="AU50">
        <v>3600</v>
      </c>
    </row>
    <row r="51" spans="1:47" x14ac:dyDescent="0.35">
      <c r="A51">
        <f t="shared" si="0"/>
        <v>19.799332714220245</v>
      </c>
      <c r="B51">
        <f t="shared" si="1"/>
        <v>14.21788119135671</v>
      </c>
      <c r="C51">
        <f t="shared" si="2"/>
        <v>0</v>
      </c>
      <c r="D51">
        <f t="shared" si="3"/>
        <v>0</v>
      </c>
      <c r="E51">
        <f t="shared" si="4"/>
        <v>0</v>
      </c>
      <c r="G51" t="s">
        <v>41</v>
      </c>
      <c r="H51">
        <v>3</v>
      </c>
      <c r="I51">
        <v>150</v>
      </c>
      <c r="J51">
        <v>1693</v>
      </c>
      <c r="K51">
        <v>3</v>
      </c>
      <c r="L51">
        <v>6</v>
      </c>
      <c r="M51">
        <v>49</v>
      </c>
      <c r="N51" t="s">
        <v>20</v>
      </c>
      <c r="O51" t="b">
        <v>1</v>
      </c>
      <c r="P51">
        <v>0.5</v>
      </c>
      <c r="Q51" t="b">
        <v>0</v>
      </c>
      <c r="R51">
        <v>8140.1831396540201</v>
      </c>
      <c r="S51">
        <v>9751.8850830209794</v>
      </c>
      <c r="T51">
        <v>8140.2412673376602</v>
      </c>
      <c r="U51">
        <v>8140.1831396540201</v>
      </c>
      <c r="V51">
        <v>0</v>
      </c>
      <c r="W51">
        <v>4685580</v>
      </c>
      <c r="X51">
        <v>3600.1325519084899</v>
      </c>
      <c r="Y51">
        <v>3600</v>
      </c>
      <c r="AC51" t="s">
        <v>41</v>
      </c>
      <c r="AD51">
        <v>3</v>
      </c>
      <c r="AE51">
        <v>150</v>
      </c>
      <c r="AF51">
        <v>1693</v>
      </c>
      <c r="AG51">
        <v>3</v>
      </c>
      <c r="AH51">
        <v>6</v>
      </c>
      <c r="AI51">
        <v>49</v>
      </c>
      <c r="AJ51" t="s">
        <v>20</v>
      </c>
      <c r="AK51" t="b">
        <v>1</v>
      </c>
      <c r="AL51">
        <v>0.5</v>
      </c>
      <c r="AM51" t="b">
        <v>1</v>
      </c>
      <c r="AN51">
        <v>8140.1831396540201</v>
      </c>
      <c r="AO51">
        <v>9297.5447072088791</v>
      </c>
      <c r="AP51">
        <v>8140.2529920750003</v>
      </c>
      <c r="AQ51">
        <v>8140.1831396540201</v>
      </c>
      <c r="AR51">
        <v>0</v>
      </c>
      <c r="AS51">
        <v>186236</v>
      </c>
      <c r="AT51">
        <v>3600.0579440593701</v>
      </c>
      <c r="AU51">
        <v>3600</v>
      </c>
    </row>
    <row r="53" spans="1:47" x14ac:dyDescent="0.35">
      <c r="A53" s="1">
        <f t="shared" ref="A53:D53" si="5">AVERAGE(A2:A51)</f>
        <v>18.163180578092408</v>
      </c>
      <c r="B53" s="1">
        <f t="shared" si="5"/>
        <v>12.773282014692784</v>
      </c>
      <c r="C53" s="1">
        <f t="shared" si="5"/>
        <v>4.797816650937637E-2</v>
      </c>
      <c r="D53" s="1">
        <f t="shared" si="5"/>
        <v>0</v>
      </c>
      <c r="E53" s="1">
        <f>AVERAGE(E2:E51)</f>
        <v>0</v>
      </c>
      <c r="F53" t="s">
        <v>25</v>
      </c>
    </row>
    <row r="54" spans="1:47" x14ac:dyDescent="0.35">
      <c r="A54" s="1">
        <f t="shared" ref="A54:D54" si="6">_xlfn.STDEV.S(A2:A51)/SQRT(COUNT(A2:A51))</f>
        <v>0.22063600992625962</v>
      </c>
      <c r="B54" s="1">
        <f t="shared" si="6"/>
        <v>0.19215918652146516</v>
      </c>
      <c r="C54" s="1">
        <f t="shared" si="6"/>
        <v>1.5934444286922086E-2</v>
      </c>
      <c r="D54" s="1">
        <f t="shared" si="6"/>
        <v>0</v>
      </c>
      <c r="E54" s="1">
        <f>_xlfn.STDEV.S(E2:E51)/SQRT(COUNT(E2:E51))</f>
        <v>0</v>
      </c>
      <c r="F54" t="s">
        <v>26</v>
      </c>
    </row>
    <row r="55" spans="1:47" x14ac:dyDescent="0.35">
      <c r="A55" s="1">
        <f t="shared" ref="A55:D55" si="7">MAX(A2:A51)</f>
        <v>21.268423840970836</v>
      </c>
      <c r="B55" s="1">
        <f t="shared" si="7"/>
        <v>15.616053023548703</v>
      </c>
      <c r="C55" s="1">
        <f t="shared" si="7"/>
        <v>0.5585205719316495</v>
      </c>
      <c r="D55" s="1">
        <f t="shared" si="7"/>
        <v>0</v>
      </c>
      <c r="E55" s="1">
        <f>MAX(E2:E51)</f>
        <v>0</v>
      </c>
      <c r="F55" t="s">
        <v>27</v>
      </c>
    </row>
    <row r="56" spans="1:47" x14ac:dyDescent="0.35">
      <c r="A56" s="1">
        <f t="shared" ref="A56:D56" si="8">MIN(A2:A51)</f>
        <v>14.411664668485576</v>
      </c>
      <c r="B56" s="1">
        <f t="shared" si="8"/>
        <v>9.6187626386168148</v>
      </c>
      <c r="C56" s="1">
        <f t="shared" si="8"/>
        <v>-1.229767989035286E-13</v>
      </c>
      <c r="D56" s="1">
        <f t="shared" si="8"/>
        <v>0</v>
      </c>
      <c r="E56" s="1">
        <f>MIN(E2:E51)</f>
        <v>0</v>
      </c>
      <c r="F56" t="s">
        <v>28</v>
      </c>
    </row>
    <row r="57" spans="1:47" x14ac:dyDescent="0.35">
      <c r="A57" s="1">
        <f t="shared" ref="A57:D57" si="9">SUM(A2:A51)</f>
        <v>908.15902890462041</v>
      </c>
      <c r="B57" s="1">
        <f t="shared" si="9"/>
        <v>638.66410073463919</v>
      </c>
      <c r="C57" s="1">
        <f t="shared" si="9"/>
        <v>2.3989083254688186</v>
      </c>
      <c r="D57" s="1">
        <f t="shared" si="9"/>
        <v>0</v>
      </c>
      <c r="E57" s="1">
        <f>SUM(E2:E51)</f>
        <v>0</v>
      </c>
      <c r="F5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A659-23EB-4F51-967E-4A0F5EABF627}">
  <dimension ref="A1:AU57"/>
  <sheetViews>
    <sheetView workbookViewId="0">
      <pane ySplit="1" topLeftCell="A47" activePane="bottomLeft" state="frozen"/>
      <selection pane="bottomLeft" activeCell="AC1" sqref="AC1:AU51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20.449138250452215</v>
      </c>
      <c r="B2">
        <f>(AO2-AN2)/AN2*100</f>
        <v>16.193655787543026</v>
      </c>
      <c r="C2">
        <f>(AQ2-AN2)/AN2*100</f>
        <v>0</v>
      </c>
      <c r="D2">
        <f>IF(X2&lt;Y2,1,0)</f>
        <v>0</v>
      </c>
      <c r="E2">
        <f>IF(AT2&lt;AU2,1,0)</f>
        <v>0</v>
      </c>
      <c r="G2" t="s">
        <v>42</v>
      </c>
      <c r="H2">
        <v>4</v>
      </c>
      <c r="I2">
        <v>168</v>
      </c>
      <c r="J2">
        <v>1656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8989.7858561604498</v>
      </c>
      <c r="S2">
        <v>10828.119594306299</v>
      </c>
      <c r="T2">
        <v>8989.8052228416</v>
      </c>
      <c r="U2">
        <v>8989.7858561604498</v>
      </c>
      <c r="V2">
        <v>0</v>
      </c>
      <c r="W2">
        <v>2798673</v>
      </c>
      <c r="X2">
        <v>3600.2065899372101</v>
      </c>
      <c r="Y2">
        <v>3600</v>
      </c>
      <c r="AC2" t="s">
        <v>42</v>
      </c>
      <c r="AD2">
        <v>4</v>
      </c>
      <c r="AE2">
        <v>168</v>
      </c>
      <c r="AF2">
        <v>1656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8989.7858561604498</v>
      </c>
      <c r="AO2">
        <v>10445.560833744301</v>
      </c>
      <c r="AP2">
        <v>8989.8452228415899</v>
      </c>
      <c r="AQ2">
        <v>8989.7858561604498</v>
      </c>
      <c r="AR2">
        <v>0</v>
      </c>
      <c r="AS2">
        <v>156582</v>
      </c>
      <c r="AT2">
        <v>3600.3927741050702</v>
      </c>
      <c r="AU2">
        <v>3600</v>
      </c>
    </row>
    <row r="3" spans="1:47" x14ac:dyDescent="0.35">
      <c r="A3">
        <f t="shared" ref="A3:A51" si="0">(-R3+S3)/R3*100</f>
        <v>20.253194087238853</v>
      </c>
      <c r="B3">
        <f t="shared" ref="B3:B51" si="1">(AO3-AN3)/AN3*100</f>
        <v>14.955013483783819</v>
      </c>
      <c r="C3">
        <f t="shared" ref="C3:C51" si="2">(AQ3-AN3)/AN3*100</f>
        <v>0</v>
      </c>
      <c r="D3">
        <f t="shared" ref="D3:D51" si="3">IF(X3&lt;Y3,1,0)</f>
        <v>0</v>
      </c>
      <c r="E3">
        <f t="shared" ref="E3:E51" si="4">IF(AT3&lt;AU3,1,0)</f>
        <v>0</v>
      </c>
      <c r="G3" t="s">
        <v>42</v>
      </c>
      <c r="H3">
        <v>4</v>
      </c>
      <c r="I3">
        <v>168</v>
      </c>
      <c r="J3">
        <v>1656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9072.5093684432595</v>
      </c>
      <c r="S3">
        <v>10909.982299417001</v>
      </c>
      <c r="T3">
        <v>9072.5175348893499</v>
      </c>
      <c r="U3">
        <v>9072.5093684432595</v>
      </c>
      <c r="V3">
        <v>0</v>
      </c>
      <c r="W3">
        <v>2169469</v>
      </c>
      <c r="X3">
        <v>3600.1704468727098</v>
      </c>
      <c r="Y3">
        <v>3600</v>
      </c>
      <c r="AC3" t="s">
        <v>42</v>
      </c>
      <c r="AD3">
        <v>4</v>
      </c>
      <c r="AE3">
        <v>168</v>
      </c>
      <c r="AF3">
        <v>1656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9072.5093684432595</v>
      </c>
      <c r="AO3">
        <v>10429.304367811499</v>
      </c>
      <c r="AP3">
        <v>9072.5175444906508</v>
      </c>
      <c r="AQ3">
        <v>9072.5093684432595</v>
      </c>
      <c r="AR3">
        <v>0</v>
      </c>
      <c r="AS3">
        <v>132813</v>
      </c>
      <c r="AT3">
        <v>3600.2913930416098</v>
      </c>
      <c r="AU3">
        <v>3600</v>
      </c>
    </row>
    <row r="4" spans="1:47" x14ac:dyDescent="0.35">
      <c r="A4">
        <f t="shared" si="0"/>
        <v>17.242231603011955</v>
      </c>
      <c r="B4">
        <f t="shared" si="1"/>
        <v>14.558433243324002</v>
      </c>
      <c r="C4">
        <f t="shared" si="2"/>
        <v>9.004506635097638E-2</v>
      </c>
      <c r="D4">
        <f t="shared" si="3"/>
        <v>0</v>
      </c>
      <c r="E4">
        <f t="shared" si="4"/>
        <v>0</v>
      </c>
      <c r="G4" t="s">
        <v>42</v>
      </c>
      <c r="H4">
        <v>4</v>
      </c>
      <c r="I4">
        <v>168</v>
      </c>
      <c r="J4">
        <v>1656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9096.8974460319005</v>
      </c>
      <c r="S4">
        <v>10665.4055723652</v>
      </c>
      <c r="T4">
        <v>9105.1463701030898</v>
      </c>
      <c r="U4">
        <v>9105.0887533730602</v>
      </c>
      <c r="V4">
        <v>0</v>
      </c>
      <c r="W4">
        <v>3737635</v>
      </c>
      <c r="X4">
        <v>3600.0789790153499</v>
      </c>
      <c r="Y4">
        <v>3600</v>
      </c>
      <c r="AC4" t="s">
        <v>42</v>
      </c>
      <c r="AD4">
        <v>4</v>
      </c>
      <c r="AE4">
        <v>168</v>
      </c>
      <c r="AF4">
        <v>1656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9096.8974460319005</v>
      </c>
      <c r="AO4">
        <v>10421.263187926101</v>
      </c>
      <c r="AP4">
        <v>9105.1259896365991</v>
      </c>
      <c r="AQ4">
        <v>9105.0887533730602</v>
      </c>
      <c r="AR4">
        <v>0</v>
      </c>
      <c r="AS4">
        <v>125580</v>
      </c>
      <c r="AT4">
        <v>3600.31764602661</v>
      </c>
      <c r="AU4">
        <v>3600</v>
      </c>
    </row>
    <row r="5" spans="1:47" x14ac:dyDescent="0.35">
      <c r="A5">
        <f t="shared" si="0"/>
        <v>22.253683193697686</v>
      </c>
      <c r="B5">
        <f t="shared" si="1"/>
        <v>16.112396889988069</v>
      </c>
      <c r="C5">
        <f t="shared" si="2"/>
        <v>0</v>
      </c>
      <c r="D5">
        <f t="shared" si="3"/>
        <v>0</v>
      </c>
      <c r="E5">
        <f t="shared" si="4"/>
        <v>0</v>
      </c>
      <c r="G5" t="s">
        <v>42</v>
      </c>
      <c r="H5">
        <v>4</v>
      </c>
      <c r="I5">
        <v>168</v>
      </c>
      <c r="J5">
        <v>1656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8983.3495468523106</v>
      </c>
      <c r="S5">
        <v>10982.4756951913</v>
      </c>
      <c r="T5">
        <v>8983.3935624699607</v>
      </c>
      <c r="U5">
        <v>8983.3495468523106</v>
      </c>
      <c r="V5">
        <v>0</v>
      </c>
      <c r="W5">
        <v>3163611</v>
      </c>
      <c r="X5">
        <v>3600.0812320709201</v>
      </c>
      <c r="Y5">
        <v>3600</v>
      </c>
      <c r="AC5" t="s">
        <v>42</v>
      </c>
      <c r="AD5">
        <v>4</v>
      </c>
      <c r="AE5">
        <v>168</v>
      </c>
      <c r="AF5">
        <v>1656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8983.3495468523106</v>
      </c>
      <c r="AO5">
        <v>10430.7824798561</v>
      </c>
      <c r="AP5">
        <v>8983.3895468523297</v>
      </c>
      <c r="AQ5">
        <v>8983.3495468523106</v>
      </c>
      <c r="AR5">
        <v>0</v>
      </c>
      <c r="AS5">
        <v>151497</v>
      </c>
      <c r="AT5">
        <v>3600.2205929756101</v>
      </c>
      <c r="AU5">
        <v>3600</v>
      </c>
    </row>
    <row r="6" spans="1:47" x14ac:dyDescent="0.35">
      <c r="A6">
        <f t="shared" si="0"/>
        <v>18.926421077796594</v>
      </c>
      <c r="B6">
        <f t="shared" si="1"/>
        <v>14.089071438207657</v>
      </c>
      <c r="C6">
        <f t="shared" si="2"/>
        <v>0</v>
      </c>
      <c r="D6">
        <f t="shared" si="3"/>
        <v>0</v>
      </c>
      <c r="E6">
        <f t="shared" si="4"/>
        <v>0</v>
      </c>
      <c r="G6" t="s">
        <v>42</v>
      </c>
      <c r="H6">
        <v>4</v>
      </c>
      <c r="I6">
        <v>168</v>
      </c>
      <c r="J6">
        <v>1656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8941.3779510561508</v>
      </c>
      <c r="S6">
        <v>10633.660792230299</v>
      </c>
      <c r="T6">
        <v>8941.4154304151798</v>
      </c>
      <c r="U6">
        <v>8941.3779510561508</v>
      </c>
      <c r="V6">
        <v>0</v>
      </c>
      <c r="W6">
        <v>3137047</v>
      </c>
      <c r="X6">
        <v>3600.14145398139</v>
      </c>
      <c r="Y6">
        <v>3600</v>
      </c>
      <c r="AC6" t="s">
        <v>42</v>
      </c>
      <c r="AD6">
        <v>4</v>
      </c>
      <c r="AE6">
        <v>168</v>
      </c>
      <c r="AF6">
        <v>1656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8941.3779510561508</v>
      </c>
      <c r="AO6">
        <v>10201.1350781406</v>
      </c>
      <c r="AP6">
        <v>8941.3779510561399</v>
      </c>
      <c r="AQ6">
        <v>8941.3779510561508</v>
      </c>
      <c r="AR6">
        <v>0</v>
      </c>
      <c r="AS6">
        <v>126015</v>
      </c>
      <c r="AT6">
        <v>3600.2395970821299</v>
      </c>
      <c r="AU6">
        <v>3600</v>
      </c>
    </row>
    <row r="7" spans="1:47" x14ac:dyDescent="0.35">
      <c r="A7">
        <f t="shared" si="0"/>
        <v>19.59473090694145</v>
      </c>
      <c r="B7">
        <f t="shared" si="1"/>
        <v>12.596653493759662</v>
      </c>
      <c r="C7">
        <f t="shared" si="2"/>
        <v>0</v>
      </c>
      <c r="D7">
        <f t="shared" si="3"/>
        <v>0</v>
      </c>
      <c r="E7">
        <f t="shared" si="4"/>
        <v>0</v>
      </c>
      <c r="G7" t="s">
        <v>42</v>
      </c>
      <c r="H7">
        <v>4</v>
      </c>
      <c r="I7">
        <v>168</v>
      </c>
      <c r="J7">
        <v>1656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9323.4560790425403</v>
      </c>
      <c r="S7">
        <v>11150.3622089578</v>
      </c>
      <c r="T7">
        <v>9323.4861381734408</v>
      </c>
      <c r="U7">
        <v>9323.4560790425403</v>
      </c>
      <c r="V7">
        <v>0</v>
      </c>
      <c r="W7">
        <v>3103366</v>
      </c>
      <c r="X7">
        <v>3600.2279689311899</v>
      </c>
      <c r="Y7">
        <v>3600</v>
      </c>
      <c r="AC7" t="s">
        <v>42</v>
      </c>
      <c r="AD7">
        <v>4</v>
      </c>
      <c r="AE7">
        <v>168</v>
      </c>
      <c r="AF7">
        <v>1656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9323.4560790425403</v>
      </c>
      <c r="AO7">
        <v>10497.8995349624</v>
      </c>
      <c r="AP7">
        <v>9323.4836437343492</v>
      </c>
      <c r="AQ7">
        <v>9323.4560790425403</v>
      </c>
      <c r="AR7">
        <v>0</v>
      </c>
      <c r="AS7">
        <v>118624</v>
      </c>
      <c r="AT7">
        <v>3600.3690879344899</v>
      </c>
      <c r="AU7">
        <v>3600</v>
      </c>
    </row>
    <row r="8" spans="1:47" x14ac:dyDescent="0.35">
      <c r="A8">
        <f t="shared" si="0"/>
        <v>20.003627569026314</v>
      </c>
      <c r="B8">
        <f t="shared" si="1"/>
        <v>14.562499630247233</v>
      </c>
      <c r="C8">
        <f t="shared" si="2"/>
        <v>0</v>
      </c>
      <c r="D8">
        <f t="shared" si="3"/>
        <v>0</v>
      </c>
      <c r="E8">
        <f t="shared" si="4"/>
        <v>0</v>
      </c>
      <c r="G8" t="s">
        <v>42</v>
      </c>
      <c r="H8">
        <v>4</v>
      </c>
      <c r="I8">
        <v>168</v>
      </c>
      <c r="J8">
        <v>1656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9142.9788697199492</v>
      </c>
      <c r="S8">
        <v>10971.906311533499</v>
      </c>
      <c r="T8">
        <v>9142.9789805393193</v>
      </c>
      <c r="U8">
        <v>9142.9788697199492</v>
      </c>
      <c r="V8">
        <v>0</v>
      </c>
      <c r="W8">
        <v>2355938</v>
      </c>
      <c r="X8">
        <v>3600.0786211490599</v>
      </c>
      <c r="Y8">
        <v>3600</v>
      </c>
      <c r="AC8" t="s">
        <v>42</v>
      </c>
      <c r="AD8">
        <v>4</v>
      </c>
      <c r="AE8">
        <v>168</v>
      </c>
      <c r="AF8">
        <v>1656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9142.9788697199492</v>
      </c>
      <c r="AO8">
        <v>10474.4251338165</v>
      </c>
      <c r="AP8">
        <v>9142.9788808807898</v>
      </c>
      <c r="AQ8">
        <v>9142.9788697199492</v>
      </c>
      <c r="AR8">
        <v>0</v>
      </c>
      <c r="AS8">
        <v>232133</v>
      </c>
      <c r="AT8">
        <v>3600.7180128097498</v>
      </c>
      <c r="AU8">
        <v>3600</v>
      </c>
    </row>
    <row r="9" spans="1:47" x14ac:dyDescent="0.35">
      <c r="A9">
        <f t="shared" si="0"/>
        <v>17.455606817586496</v>
      </c>
      <c r="B9">
        <f t="shared" si="1"/>
        <v>14.28766182795469</v>
      </c>
      <c r="C9">
        <f t="shared" si="2"/>
        <v>6.6833810993425415E-3</v>
      </c>
      <c r="D9">
        <f t="shared" si="3"/>
        <v>0</v>
      </c>
      <c r="E9">
        <f t="shared" si="4"/>
        <v>0</v>
      </c>
      <c r="G9" t="s">
        <v>42</v>
      </c>
      <c r="H9">
        <v>4</v>
      </c>
      <c r="I9">
        <v>168</v>
      </c>
      <c r="J9">
        <v>1656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9013.8724524975805</v>
      </c>
      <c r="S9">
        <v>10587.298586844299</v>
      </c>
      <c r="T9">
        <v>9014.4748839456897</v>
      </c>
      <c r="U9">
        <v>9014.4748839453896</v>
      </c>
      <c r="V9">
        <v>0</v>
      </c>
      <c r="W9">
        <v>2204219</v>
      </c>
      <c r="X9">
        <v>3600.1870729923198</v>
      </c>
      <c r="Y9">
        <v>3600</v>
      </c>
      <c r="AC9" t="s">
        <v>42</v>
      </c>
      <c r="AD9">
        <v>4</v>
      </c>
      <c r="AE9">
        <v>168</v>
      </c>
      <c r="AF9">
        <v>1656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9013.8724524975805</v>
      </c>
      <c r="AO9">
        <v>10301.744066113601</v>
      </c>
      <c r="AP9">
        <v>9014.5272409854697</v>
      </c>
      <c r="AQ9">
        <v>9014.4748839453896</v>
      </c>
      <c r="AR9">
        <v>0</v>
      </c>
      <c r="AS9">
        <v>323320</v>
      </c>
      <c r="AT9">
        <v>3600.3827970027901</v>
      </c>
      <c r="AU9">
        <v>3600</v>
      </c>
    </row>
    <row r="10" spans="1:47" x14ac:dyDescent="0.35">
      <c r="A10">
        <f t="shared" si="0"/>
        <v>18.298361258831928</v>
      </c>
      <c r="B10">
        <f t="shared" si="1"/>
        <v>14.242475369652999</v>
      </c>
      <c r="C10">
        <f t="shared" si="2"/>
        <v>6.4253364435515464E-2</v>
      </c>
      <c r="D10">
        <f t="shared" si="3"/>
        <v>0</v>
      </c>
      <c r="E10">
        <f t="shared" si="4"/>
        <v>0</v>
      </c>
      <c r="G10" t="s">
        <v>42</v>
      </c>
      <c r="H10">
        <v>4</v>
      </c>
      <c r="I10">
        <v>168</v>
      </c>
      <c r="J10">
        <v>1656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9008.3857662416995</v>
      </c>
      <c r="S10">
        <v>10656.7727373378</v>
      </c>
      <c r="T10">
        <v>9014.1739571782091</v>
      </c>
      <c r="U10">
        <v>9014.1739571778398</v>
      </c>
      <c r="V10">
        <v>0</v>
      </c>
      <c r="W10">
        <v>1610974</v>
      </c>
      <c r="X10">
        <v>3600.1808121204299</v>
      </c>
      <c r="Y10">
        <v>3600</v>
      </c>
      <c r="AC10" t="s">
        <v>42</v>
      </c>
      <c r="AD10">
        <v>4</v>
      </c>
      <c r="AE10">
        <v>168</v>
      </c>
      <c r="AF10">
        <v>1656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9008.3857662416995</v>
      </c>
      <c r="AO10">
        <v>10291.402890202</v>
      </c>
      <c r="AP10">
        <v>9014.1739571778398</v>
      </c>
      <c r="AQ10">
        <v>9014.1739571778398</v>
      </c>
      <c r="AR10">
        <v>0</v>
      </c>
      <c r="AS10">
        <v>178880</v>
      </c>
      <c r="AT10">
        <v>3600.1869139671298</v>
      </c>
      <c r="AU10">
        <v>3600</v>
      </c>
    </row>
    <row r="11" spans="1:47" x14ac:dyDescent="0.35">
      <c r="A11">
        <f t="shared" si="0"/>
        <v>20.104574826317027</v>
      </c>
      <c r="B11">
        <f t="shared" si="1"/>
        <v>13.38173432809911</v>
      </c>
      <c r="C11">
        <f t="shared" si="2"/>
        <v>0</v>
      </c>
      <c r="D11">
        <f t="shared" si="3"/>
        <v>0</v>
      </c>
      <c r="E11">
        <f t="shared" si="4"/>
        <v>0</v>
      </c>
      <c r="G11" t="s">
        <v>42</v>
      </c>
      <c r="H11">
        <v>4</v>
      </c>
      <c r="I11">
        <v>168</v>
      </c>
      <c r="J11">
        <v>1656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9130.5511956428909</v>
      </c>
      <c r="S11">
        <v>10966.2096928261</v>
      </c>
      <c r="T11">
        <v>9130.5890207982902</v>
      </c>
      <c r="U11">
        <v>9130.5511956428909</v>
      </c>
      <c r="V11">
        <v>0</v>
      </c>
      <c r="W11">
        <v>3809096</v>
      </c>
      <c r="X11">
        <v>3600.1787869930199</v>
      </c>
      <c r="Y11">
        <v>3600</v>
      </c>
      <c r="AC11" t="s">
        <v>42</v>
      </c>
      <c r="AD11">
        <v>4</v>
      </c>
      <c r="AE11">
        <v>168</v>
      </c>
      <c r="AF11">
        <v>1656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9130.5511956428909</v>
      </c>
      <c r="AO11">
        <v>10352.377299334899</v>
      </c>
      <c r="AP11">
        <v>9130.5601810943899</v>
      </c>
      <c r="AQ11">
        <v>9130.5511956428909</v>
      </c>
      <c r="AR11">
        <v>0</v>
      </c>
      <c r="AS11">
        <v>160428</v>
      </c>
      <c r="AT11">
        <v>3600.12043714523</v>
      </c>
      <c r="AU11">
        <v>3600</v>
      </c>
    </row>
    <row r="12" spans="1:47" x14ac:dyDescent="0.35">
      <c r="A12">
        <f t="shared" si="0"/>
        <v>20.602069176201564</v>
      </c>
      <c r="B12">
        <f t="shared" si="1"/>
        <v>15.50417322489221</v>
      </c>
      <c r="C12">
        <f t="shared" si="2"/>
        <v>0</v>
      </c>
      <c r="D12">
        <f t="shared" si="3"/>
        <v>0</v>
      </c>
      <c r="E12">
        <f t="shared" si="4"/>
        <v>0</v>
      </c>
      <c r="G12" t="s">
        <v>42</v>
      </c>
      <c r="H12">
        <v>4</v>
      </c>
      <c r="I12">
        <v>168</v>
      </c>
      <c r="J12">
        <v>1656</v>
      </c>
      <c r="K12">
        <v>3</v>
      </c>
      <c r="L12">
        <v>6</v>
      </c>
      <c r="M12">
        <v>10</v>
      </c>
      <c r="N12" t="s">
        <v>20</v>
      </c>
      <c r="O12" t="b">
        <v>1</v>
      </c>
      <c r="P12">
        <v>0.5</v>
      </c>
      <c r="Q12" t="b">
        <v>0</v>
      </c>
      <c r="R12">
        <v>9082.6387250405696</v>
      </c>
      <c r="S12">
        <v>10953.8502381979</v>
      </c>
      <c r="T12">
        <v>9082.7348053312799</v>
      </c>
      <c r="U12">
        <v>9082.6387250405696</v>
      </c>
      <c r="V12">
        <v>0</v>
      </c>
      <c r="W12">
        <v>3442278</v>
      </c>
      <c r="X12">
        <v>3600.0746550559902</v>
      </c>
      <c r="Y12">
        <v>3600</v>
      </c>
      <c r="AC12" t="s">
        <v>42</v>
      </c>
      <c r="AD12">
        <v>4</v>
      </c>
      <c r="AE12">
        <v>168</v>
      </c>
      <c r="AF12">
        <v>1656</v>
      </c>
      <c r="AG12">
        <v>3</v>
      </c>
      <c r="AH12">
        <v>6</v>
      </c>
      <c r="AI12">
        <v>10</v>
      </c>
      <c r="AJ12" t="s">
        <v>20</v>
      </c>
      <c r="AK12" t="b">
        <v>1</v>
      </c>
      <c r="AL12">
        <v>0.5</v>
      </c>
      <c r="AM12" t="b">
        <v>1</v>
      </c>
      <c r="AN12">
        <v>9082.6387250405696</v>
      </c>
      <c r="AO12">
        <v>10490.826766362001</v>
      </c>
      <c r="AP12">
        <v>9082.6413639276307</v>
      </c>
      <c r="AQ12">
        <v>9082.6387250405696</v>
      </c>
      <c r="AR12">
        <v>0</v>
      </c>
      <c r="AS12">
        <v>150075</v>
      </c>
      <c r="AT12">
        <v>3600.2517290115302</v>
      </c>
      <c r="AU12">
        <v>3600</v>
      </c>
    </row>
    <row r="13" spans="1:47" x14ac:dyDescent="0.35">
      <c r="A13">
        <f t="shared" si="0"/>
        <v>20.365523153709038</v>
      </c>
      <c r="B13">
        <f t="shared" si="1"/>
        <v>14.778973942127148</v>
      </c>
      <c r="C13">
        <f t="shared" si="2"/>
        <v>0</v>
      </c>
      <c r="D13">
        <f t="shared" si="3"/>
        <v>0</v>
      </c>
      <c r="E13">
        <f t="shared" si="4"/>
        <v>0</v>
      </c>
      <c r="G13" t="s">
        <v>42</v>
      </c>
      <c r="H13">
        <v>4</v>
      </c>
      <c r="I13">
        <v>168</v>
      </c>
      <c r="J13">
        <v>1656</v>
      </c>
      <c r="K13">
        <v>3</v>
      </c>
      <c r="L13">
        <v>6</v>
      </c>
      <c r="M13">
        <v>11</v>
      </c>
      <c r="N13" t="s">
        <v>20</v>
      </c>
      <c r="O13" t="b">
        <v>1</v>
      </c>
      <c r="P13">
        <v>0.5</v>
      </c>
      <c r="Q13" t="b">
        <v>0</v>
      </c>
      <c r="R13">
        <v>9158.3111964859309</v>
      </c>
      <c r="S13">
        <v>11023.449183695</v>
      </c>
      <c r="T13">
        <v>9158.3613593419796</v>
      </c>
      <c r="U13">
        <v>9158.3111964859309</v>
      </c>
      <c r="V13">
        <v>0</v>
      </c>
      <c r="W13">
        <v>2999465</v>
      </c>
      <c r="X13">
        <v>3600.1792740821802</v>
      </c>
      <c r="Y13">
        <v>3600</v>
      </c>
      <c r="AC13" t="s">
        <v>42</v>
      </c>
      <c r="AD13">
        <v>4</v>
      </c>
      <c r="AE13">
        <v>168</v>
      </c>
      <c r="AF13">
        <v>1656</v>
      </c>
      <c r="AG13">
        <v>3</v>
      </c>
      <c r="AH13">
        <v>6</v>
      </c>
      <c r="AI13">
        <v>11</v>
      </c>
      <c r="AJ13" t="s">
        <v>20</v>
      </c>
      <c r="AK13" t="b">
        <v>1</v>
      </c>
      <c r="AL13">
        <v>0.5</v>
      </c>
      <c r="AM13" t="b">
        <v>1</v>
      </c>
      <c r="AN13">
        <v>9158.3111964859309</v>
      </c>
      <c r="AO13">
        <v>10511.8156217535</v>
      </c>
      <c r="AP13">
        <v>9158.3329985238197</v>
      </c>
      <c r="AQ13">
        <v>9158.3111964859309</v>
      </c>
      <c r="AR13">
        <v>0</v>
      </c>
      <c r="AS13">
        <v>190124</v>
      </c>
      <c r="AT13">
        <v>3600.45284485816</v>
      </c>
      <c r="AU13">
        <v>3600</v>
      </c>
    </row>
    <row r="14" spans="1:47" x14ac:dyDescent="0.35">
      <c r="A14">
        <f t="shared" si="0"/>
        <v>16.916277295437457</v>
      </c>
      <c r="B14">
        <f t="shared" si="1"/>
        <v>15.437363127331775</v>
      </c>
      <c r="C14">
        <f t="shared" si="2"/>
        <v>0</v>
      </c>
      <c r="D14">
        <f t="shared" si="3"/>
        <v>0</v>
      </c>
      <c r="E14">
        <f t="shared" si="4"/>
        <v>0</v>
      </c>
      <c r="G14" t="s">
        <v>42</v>
      </c>
      <c r="H14">
        <v>4</v>
      </c>
      <c r="I14">
        <v>168</v>
      </c>
      <c r="J14">
        <v>1656</v>
      </c>
      <c r="K14">
        <v>3</v>
      </c>
      <c r="L14">
        <v>6</v>
      </c>
      <c r="M14">
        <v>12</v>
      </c>
      <c r="N14" t="s">
        <v>20</v>
      </c>
      <c r="O14" t="b">
        <v>1</v>
      </c>
      <c r="P14">
        <v>0.5</v>
      </c>
      <c r="Q14" t="b">
        <v>0</v>
      </c>
      <c r="R14">
        <v>9085.9777916670391</v>
      </c>
      <c r="S14">
        <v>10622.9869899073</v>
      </c>
      <c r="T14">
        <v>9086.0650944459194</v>
      </c>
      <c r="U14">
        <v>9085.9777916670391</v>
      </c>
      <c r="V14">
        <v>0</v>
      </c>
      <c r="W14">
        <v>3531398</v>
      </c>
      <c r="X14">
        <v>3600.0702810287398</v>
      </c>
      <c r="Y14">
        <v>3600</v>
      </c>
      <c r="AC14" t="s">
        <v>42</v>
      </c>
      <c r="AD14">
        <v>4</v>
      </c>
      <c r="AE14">
        <v>168</v>
      </c>
      <c r="AF14">
        <v>1656</v>
      </c>
      <c r="AG14">
        <v>3</v>
      </c>
      <c r="AH14">
        <v>6</v>
      </c>
      <c r="AI14">
        <v>12</v>
      </c>
      <c r="AJ14" t="s">
        <v>20</v>
      </c>
      <c r="AK14" t="b">
        <v>1</v>
      </c>
      <c r="AL14">
        <v>0.5</v>
      </c>
      <c r="AM14" t="b">
        <v>1</v>
      </c>
      <c r="AN14">
        <v>9085.9777916670391</v>
      </c>
      <c r="AO14">
        <v>10488.6131770354</v>
      </c>
      <c r="AP14">
        <v>9086.0651135167209</v>
      </c>
      <c r="AQ14">
        <v>9085.9777916670391</v>
      </c>
      <c r="AR14">
        <v>0</v>
      </c>
      <c r="AS14">
        <v>137365</v>
      </c>
      <c r="AT14">
        <v>3600.2131040096201</v>
      </c>
      <c r="AU14">
        <v>3600</v>
      </c>
    </row>
    <row r="15" spans="1:47" x14ac:dyDescent="0.35">
      <c r="A15">
        <f t="shared" si="0"/>
        <v>20.252674714629173</v>
      </c>
      <c r="B15">
        <f t="shared" si="1"/>
        <v>15.074166047334197</v>
      </c>
      <c r="C15">
        <f t="shared" si="2"/>
        <v>9.0496186718931719E-3</v>
      </c>
      <c r="D15">
        <f t="shared" si="3"/>
        <v>0</v>
      </c>
      <c r="E15">
        <f t="shared" si="4"/>
        <v>0</v>
      </c>
      <c r="G15" t="s">
        <v>42</v>
      </c>
      <c r="H15">
        <v>4</v>
      </c>
      <c r="I15">
        <v>168</v>
      </c>
      <c r="J15">
        <v>1656</v>
      </c>
      <c r="K15">
        <v>3</v>
      </c>
      <c r="L15">
        <v>6</v>
      </c>
      <c r="M15">
        <v>13</v>
      </c>
      <c r="N15" t="s">
        <v>20</v>
      </c>
      <c r="O15" t="b">
        <v>1</v>
      </c>
      <c r="P15">
        <v>0.5</v>
      </c>
      <c r="Q15" t="b">
        <v>0</v>
      </c>
      <c r="R15">
        <v>9038.4393483981694</v>
      </c>
      <c r="S15">
        <v>10868.965068908299</v>
      </c>
      <c r="T15">
        <v>9039.3028523792891</v>
      </c>
      <c r="U15">
        <v>9039.2572926930898</v>
      </c>
      <c r="V15">
        <v>0</v>
      </c>
      <c r="W15">
        <v>2252434</v>
      </c>
      <c r="X15">
        <v>3600.12633991241</v>
      </c>
      <c r="Y15">
        <v>3600</v>
      </c>
      <c r="AC15" t="s">
        <v>42</v>
      </c>
      <c r="AD15">
        <v>4</v>
      </c>
      <c r="AE15">
        <v>168</v>
      </c>
      <c r="AF15">
        <v>1656</v>
      </c>
      <c r="AG15">
        <v>3</v>
      </c>
      <c r="AH15">
        <v>6</v>
      </c>
      <c r="AI15">
        <v>13</v>
      </c>
      <c r="AJ15" t="s">
        <v>20</v>
      </c>
      <c r="AK15" t="b">
        <v>1</v>
      </c>
      <c r="AL15">
        <v>0.5</v>
      </c>
      <c r="AM15" t="b">
        <v>1</v>
      </c>
      <c r="AN15">
        <v>9038.4393483981694</v>
      </c>
      <c r="AO15">
        <v>10400.908703863301</v>
      </c>
      <c r="AP15">
        <v>9039.2952132886203</v>
      </c>
      <c r="AQ15">
        <v>9039.2572926930898</v>
      </c>
      <c r="AR15">
        <v>0</v>
      </c>
      <c r="AS15">
        <v>158848</v>
      </c>
      <c r="AT15">
        <v>3600.18683195114</v>
      </c>
      <c r="AU15">
        <v>3600</v>
      </c>
    </row>
    <row r="16" spans="1:47" x14ac:dyDescent="0.35">
      <c r="A16">
        <f t="shared" si="0"/>
        <v>21.088354367883706</v>
      </c>
      <c r="B16">
        <f t="shared" si="1"/>
        <v>14.650339292852157</v>
      </c>
      <c r="C16">
        <f t="shared" si="2"/>
        <v>1.0448182035109539E-2</v>
      </c>
      <c r="D16">
        <f t="shared" si="3"/>
        <v>0</v>
      </c>
      <c r="E16">
        <f t="shared" si="4"/>
        <v>0</v>
      </c>
      <c r="G16" t="s">
        <v>42</v>
      </c>
      <c r="H16">
        <v>4</v>
      </c>
      <c r="I16">
        <v>168</v>
      </c>
      <c r="J16">
        <v>1656</v>
      </c>
      <c r="K16">
        <v>3</v>
      </c>
      <c r="L16">
        <v>6</v>
      </c>
      <c r="M16">
        <v>14</v>
      </c>
      <c r="N16" t="s">
        <v>20</v>
      </c>
      <c r="O16" t="b">
        <v>1</v>
      </c>
      <c r="P16">
        <v>0.5</v>
      </c>
      <c r="Q16" t="b">
        <v>0</v>
      </c>
      <c r="R16">
        <v>9022.76049748693</v>
      </c>
      <c r="S16">
        <v>10925.512204962401</v>
      </c>
      <c r="T16">
        <v>9023.7032119283704</v>
      </c>
      <c r="U16">
        <v>9023.7032119282994</v>
      </c>
      <c r="V16">
        <v>0</v>
      </c>
      <c r="W16">
        <v>3297850</v>
      </c>
      <c r="X16">
        <v>3600.2201340198499</v>
      </c>
      <c r="Y16">
        <v>3600</v>
      </c>
      <c r="AC16" t="s">
        <v>42</v>
      </c>
      <c r="AD16">
        <v>4</v>
      </c>
      <c r="AE16">
        <v>168</v>
      </c>
      <c r="AF16">
        <v>1656</v>
      </c>
      <c r="AG16">
        <v>3</v>
      </c>
      <c r="AH16">
        <v>6</v>
      </c>
      <c r="AI16">
        <v>14</v>
      </c>
      <c r="AJ16" t="s">
        <v>20</v>
      </c>
      <c r="AK16" t="b">
        <v>1</v>
      </c>
      <c r="AL16">
        <v>0.5</v>
      </c>
      <c r="AM16" t="b">
        <v>1</v>
      </c>
      <c r="AN16">
        <v>9022.76049748693</v>
      </c>
      <c r="AO16">
        <v>10344.625523950201</v>
      </c>
      <c r="AP16">
        <v>9023.7032119283103</v>
      </c>
      <c r="AQ16">
        <v>9023.7032119282994</v>
      </c>
      <c r="AR16">
        <v>0</v>
      </c>
      <c r="AS16">
        <v>119138</v>
      </c>
      <c r="AT16">
        <v>3600.2318999767299</v>
      </c>
      <c r="AU16">
        <v>3600</v>
      </c>
    </row>
    <row r="17" spans="1:47" x14ac:dyDescent="0.35">
      <c r="A17">
        <f t="shared" si="0"/>
        <v>17.622831866782064</v>
      </c>
      <c r="B17">
        <f t="shared" si="1"/>
        <v>14.942413722374489</v>
      </c>
      <c r="C17">
        <f t="shared" si="2"/>
        <v>0</v>
      </c>
      <c r="D17">
        <f t="shared" si="3"/>
        <v>0</v>
      </c>
      <c r="E17">
        <f t="shared" si="4"/>
        <v>0</v>
      </c>
      <c r="G17" t="s">
        <v>42</v>
      </c>
      <c r="H17">
        <v>4</v>
      </c>
      <c r="I17">
        <v>168</v>
      </c>
      <c r="J17">
        <v>1656</v>
      </c>
      <c r="K17">
        <v>3</v>
      </c>
      <c r="L17">
        <v>6</v>
      </c>
      <c r="M17">
        <v>15</v>
      </c>
      <c r="N17" t="s">
        <v>20</v>
      </c>
      <c r="O17" t="b">
        <v>1</v>
      </c>
      <c r="P17">
        <v>0.5</v>
      </c>
      <c r="Q17" t="b">
        <v>0</v>
      </c>
      <c r="R17">
        <v>8974.4366484680104</v>
      </c>
      <c r="S17">
        <v>10555.986530018399</v>
      </c>
      <c r="T17">
        <v>8974.4791905153597</v>
      </c>
      <c r="U17">
        <v>8974.4366484680104</v>
      </c>
      <c r="V17">
        <v>0</v>
      </c>
      <c r="W17">
        <v>2053067</v>
      </c>
      <c r="X17">
        <v>3600.14879894256</v>
      </c>
      <c r="Y17">
        <v>3600</v>
      </c>
      <c r="AC17" t="s">
        <v>42</v>
      </c>
      <c r="AD17">
        <v>4</v>
      </c>
      <c r="AE17">
        <v>168</v>
      </c>
      <c r="AF17">
        <v>1656</v>
      </c>
      <c r="AG17">
        <v>3</v>
      </c>
      <c r="AH17">
        <v>6</v>
      </c>
      <c r="AI17">
        <v>15</v>
      </c>
      <c r="AJ17" t="s">
        <v>20</v>
      </c>
      <c r="AK17" t="b">
        <v>1</v>
      </c>
      <c r="AL17">
        <v>0.5</v>
      </c>
      <c r="AM17" t="b">
        <v>1</v>
      </c>
      <c r="AN17">
        <v>8974.4366484680104</v>
      </c>
      <c r="AO17">
        <v>10315.4341017345</v>
      </c>
      <c r="AP17">
        <v>8974.4366484680195</v>
      </c>
      <c r="AQ17">
        <v>8974.4366484680104</v>
      </c>
      <c r="AR17">
        <v>0</v>
      </c>
      <c r="AS17">
        <v>95955</v>
      </c>
      <c r="AT17">
        <v>3600.0973999500202</v>
      </c>
      <c r="AU17">
        <v>3600</v>
      </c>
    </row>
    <row r="18" spans="1:47" x14ac:dyDescent="0.35">
      <c r="A18">
        <f t="shared" si="0"/>
        <v>20.427684608159133</v>
      </c>
      <c r="B18">
        <f t="shared" si="1"/>
        <v>13.821782270016961</v>
      </c>
      <c r="C18">
        <f t="shared" si="2"/>
        <v>0.11804051064220618</v>
      </c>
      <c r="D18">
        <f t="shared" si="3"/>
        <v>0</v>
      </c>
      <c r="E18">
        <f t="shared" si="4"/>
        <v>0</v>
      </c>
      <c r="G18" t="s">
        <v>42</v>
      </c>
      <c r="H18">
        <v>4</v>
      </c>
      <c r="I18">
        <v>168</v>
      </c>
      <c r="J18">
        <v>1656</v>
      </c>
      <c r="K18">
        <v>3</v>
      </c>
      <c r="L18">
        <v>6</v>
      </c>
      <c r="M18">
        <v>16</v>
      </c>
      <c r="N18" t="s">
        <v>20</v>
      </c>
      <c r="O18" t="b">
        <v>1</v>
      </c>
      <c r="P18">
        <v>0.5</v>
      </c>
      <c r="Q18" t="b">
        <v>0</v>
      </c>
      <c r="R18">
        <v>8965.6176976462302</v>
      </c>
      <c r="S18">
        <v>10797.085804094701</v>
      </c>
      <c r="T18">
        <v>8976.2007585584906</v>
      </c>
      <c r="U18">
        <v>8976.2007585587598</v>
      </c>
      <c r="V18">
        <v>0</v>
      </c>
      <c r="W18">
        <v>3413231</v>
      </c>
      <c r="X18">
        <v>3600.1373589038799</v>
      </c>
      <c r="Y18">
        <v>3600</v>
      </c>
      <c r="AC18" t="s">
        <v>42</v>
      </c>
      <c r="AD18">
        <v>4</v>
      </c>
      <c r="AE18">
        <v>168</v>
      </c>
      <c r="AF18">
        <v>1656</v>
      </c>
      <c r="AG18">
        <v>3</v>
      </c>
      <c r="AH18">
        <v>6</v>
      </c>
      <c r="AI18">
        <v>16</v>
      </c>
      <c r="AJ18" t="s">
        <v>20</v>
      </c>
      <c r="AK18" t="b">
        <v>1</v>
      </c>
      <c r="AL18">
        <v>0.5</v>
      </c>
      <c r="AM18" t="b">
        <v>1</v>
      </c>
      <c r="AN18">
        <v>8965.6176976462302</v>
      </c>
      <c r="AO18">
        <v>10204.825854977</v>
      </c>
      <c r="AP18">
        <v>8976.2007585587598</v>
      </c>
      <c r="AQ18">
        <v>8976.2007585587598</v>
      </c>
      <c r="AR18">
        <v>0</v>
      </c>
      <c r="AS18">
        <v>186500</v>
      </c>
      <c r="AT18">
        <v>3600.3997209072099</v>
      </c>
      <c r="AU18">
        <v>3600</v>
      </c>
    </row>
    <row r="19" spans="1:47" x14ac:dyDescent="0.35">
      <c r="A19">
        <f t="shared" si="0"/>
        <v>20.994606773968613</v>
      </c>
      <c r="B19">
        <f t="shared" si="1"/>
        <v>14.209987549152014</v>
      </c>
      <c r="C19">
        <f t="shared" si="2"/>
        <v>0</v>
      </c>
      <c r="D19">
        <f t="shared" si="3"/>
        <v>0</v>
      </c>
      <c r="E19">
        <f t="shared" si="4"/>
        <v>0</v>
      </c>
      <c r="G19" t="s">
        <v>42</v>
      </c>
      <c r="H19">
        <v>4</v>
      </c>
      <c r="I19">
        <v>168</v>
      </c>
      <c r="J19">
        <v>1656</v>
      </c>
      <c r="K19">
        <v>3</v>
      </c>
      <c r="L19">
        <v>6</v>
      </c>
      <c r="M19">
        <v>17</v>
      </c>
      <c r="N19" t="s">
        <v>20</v>
      </c>
      <c r="O19" t="b">
        <v>1</v>
      </c>
      <c r="P19">
        <v>0.5</v>
      </c>
      <c r="Q19" t="b">
        <v>0</v>
      </c>
      <c r="R19">
        <v>9143.8747515586601</v>
      </c>
      <c r="S19">
        <v>11063.5952995526</v>
      </c>
      <c r="T19">
        <v>9143.9511893202107</v>
      </c>
      <c r="U19">
        <v>9143.8747515586601</v>
      </c>
      <c r="V19">
        <v>0</v>
      </c>
      <c r="W19">
        <v>2876106</v>
      </c>
      <c r="X19">
        <v>3600.0754160881002</v>
      </c>
      <c r="Y19">
        <v>3600</v>
      </c>
      <c r="AC19" t="s">
        <v>42</v>
      </c>
      <c r="AD19">
        <v>4</v>
      </c>
      <c r="AE19">
        <v>168</v>
      </c>
      <c r="AF19">
        <v>1656</v>
      </c>
      <c r="AG19">
        <v>3</v>
      </c>
      <c r="AH19">
        <v>6</v>
      </c>
      <c r="AI19">
        <v>17</v>
      </c>
      <c r="AJ19" t="s">
        <v>20</v>
      </c>
      <c r="AK19" t="b">
        <v>1</v>
      </c>
      <c r="AL19">
        <v>0.5</v>
      </c>
      <c r="AM19" t="b">
        <v>1</v>
      </c>
      <c r="AN19">
        <v>9143.8747515586601</v>
      </c>
      <c r="AO19">
        <v>10443.2182152652</v>
      </c>
      <c r="AP19">
        <v>9143.8947747014008</v>
      </c>
      <c r="AQ19">
        <v>9143.8747515586601</v>
      </c>
      <c r="AR19">
        <v>0</v>
      </c>
      <c r="AS19">
        <v>114771</v>
      </c>
      <c r="AT19">
        <v>3600.3365550041199</v>
      </c>
      <c r="AU19">
        <v>3600</v>
      </c>
    </row>
    <row r="20" spans="1:47" x14ac:dyDescent="0.35">
      <c r="A20">
        <f t="shared" si="0"/>
        <v>18.165003266607449</v>
      </c>
      <c r="B20">
        <f t="shared" si="1"/>
        <v>15.319190611219399</v>
      </c>
      <c r="C20">
        <f t="shared" si="2"/>
        <v>2.1604706544388626E-2</v>
      </c>
      <c r="D20">
        <f t="shared" si="3"/>
        <v>0</v>
      </c>
      <c r="E20">
        <f t="shared" si="4"/>
        <v>0</v>
      </c>
      <c r="G20" t="s">
        <v>42</v>
      </c>
      <c r="H20">
        <v>4</v>
      </c>
      <c r="I20">
        <v>168</v>
      </c>
      <c r="J20">
        <v>1656</v>
      </c>
      <c r="K20">
        <v>3</v>
      </c>
      <c r="L20">
        <v>6</v>
      </c>
      <c r="M20">
        <v>18</v>
      </c>
      <c r="N20" t="s">
        <v>20</v>
      </c>
      <c r="O20" t="b">
        <v>1</v>
      </c>
      <c r="P20">
        <v>0.5</v>
      </c>
      <c r="Q20" t="b">
        <v>0</v>
      </c>
      <c r="R20">
        <v>9017.2321152675704</v>
      </c>
      <c r="S20">
        <v>10655.212623563501</v>
      </c>
      <c r="T20">
        <v>9019.1999103234994</v>
      </c>
      <c r="U20">
        <v>9019.1802618045003</v>
      </c>
      <c r="V20">
        <v>0</v>
      </c>
      <c r="W20">
        <v>3637629</v>
      </c>
      <c r="X20">
        <v>3600.0959570407799</v>
      </c>
      <c r="Y20">
        <v>3600</v>
      </c>
      <c r="AC20" t="s">
        <v>42</v>
      </c>
      <c r="AD20">
        <v>4</v>
      </c>
      <c r="AE20">
        <v>168</v>
      </c>
      <c r="AF20">
        <v>1656</v>
      </c>
      <c r="AG20">
        <v>3</v>
      </c>
      <c r="AH20">
        <v>6</v>
      </c>
      <c r="AI20">
        <v>18</v>
      </c>
      <c r="AJ20" t="s">
        <v>20</v>
      </c>
      <c r="AK20" t="b">
        <v>1</v>
      </c>
      <c r="AL20">
        <v>0.5</v>
      </c>
      <c r="AM20" t="b">
        <v>1</v>
      </c>
      <c r="AN20">
        <v>9017.2321152675704</v>
      </c>
      <c r="AO20">
        <v>10398.5990908615</v>
      </c>
      <c r="AP20">
        <v>9019.2332404517001</v>
      </c>
      <c r="AQ20">
        <v>9019.1802618045003</v>
      </c>
      <c r="AR20">
        <v>0</v>
      </c>
      <c r="AS20">
        <v>166207</v>
      </c>
      <c r="AT20">
        <v>3600.0937418937601</v>
      </c>
      <c r="AU20">
        <v>3600</v>
      </c>
    </row>
    <row r="21" spans="1:47" x14ac:dyDescent="0.35">
      <c r="A21">
        <f t="shared" si="0"/>
        <v>20.580165401096362</v>
      </c>
      <c r="B21">
        <f t="shared" si="1"/>
        <v>15.164379208808199</v>
      </c>
      <c r="C21">
        <f t="shared" si="2"/>
        <v>0</v>
      </c>
      <c r="D21">
        <f t="shared" si="3"/>
        <v>0</v>
      </c>
      <c r="E21">
        <f t="shared" si="4"/>
        <v>0</v>
      </c>
      <c r="G21" t="s">
        <v>42</v>
      </c>
      <c r="H21">
        <v>4</v>
      </c>
      <c r="I21">
        <v>168</v>
      </c>
      <c r="J21">
        <v>1656</v>
      </c>
      <c r="K21">
        <v>3</v>
      </c>
      <c r="L21">
        <v>6</v>
      </c>
      <c r="M21">
        <v>19</v>
      </c>
      <c r="N21" t="s">
        <v>20</v>
      </c>
      <c r="O21" t="b">
        <v>1</v>
      </c>
      <c r="P21">
        <v>0.5</v>
      </c>
      <c r="Q21" t="b">
        <v>0</v>
      </c>
      <c r="R21">
        <v>9080.5572426747094</v>
      </c>
      <c r="S21">
        <v>10949.3509425584</v>
      </c>
      <c r="T21">
        <v>9080.7593871664794</v>
      </c>
      <c r="U21">
        <v>9080.5572426747094</v>
      </c>
      <c r="V21">
        <v>0</v>
      </c>
      <c r="W21">
        <v>2719712</v>
      </c>
      <c r="X21">
        <v>3600.0568609237598</v>
      </c>
      <c r="Y21">
        <v>3600</v>
      </c>
      <c r="AC21" t="s">
        <v>42</v>
      </c>
      <c r="AD21">
        <v>4</v>
      </c>
      <c r="AE21">
        <v>168</v>
      </c>
      <c r="AF21">
        <v>1656</v>
      </c>
      <c r="AG21">
        <v>3</v>
      </c>
      <c r="AH21">
        <v>6</v>
      </c>
      <c r="AI21">
        <v>19</v>
      </c>
      <c r="AJ21" t="s">
        <v>20</v>
      </c>
      <c r="AK21" t="b">
        <v>1</v>
      </c>
      <c r="AL21">
        <v>0.5</v>
      </c>
      <c r="AM21" t="b">
        <v>1</v>
      </c>
      <c r="AN21">
        <v>9080.5572426747094</v>
      </c>
      <c r="AO21">
        <v>10457.5673772268</v>
      </c>
      <c r="AP21">
        <v>9080.5572543389808</v>
      </c>
      <c r="AQ21">
        <v>9080.5572426747094</v>
      </c>
      <c r="AR21">
        <v>0</v>
      </c>
      <c r="AS21">
        <v>138034</v>
      </c>
      <c r="AT21">
        <v>3600.1510598659502</v>
      </c>
      <c r="AU21">
        <v>3600</v>
      </c>
    </row>
    <row r="22" spans="1:47" x14ac:dyDescent="0.35">
      <c r="A22">
        <f t="shared" si="0"/>
        <v>17.684690918748601</v>
      </c>
      <c r="B22">
        <f t="shared" si="1"/>
        <v>14.687034856823047</v>
      </c>
      <c r="C22">
        <f t="shared" si="2"/>
        <v>0</v>
      </c>
      <c r="D22">
        <f t="shared" si="3"/>
        <v>0</v>
      </c>
      <c r="E22">
        <f t="shared" si="4"/>
        <v>0</v>
      </c>
      <c r="G22" t="s">
        <v>42</v>
      </c>
      <c r="H22">
        <v>4</v>
      </c>
      <c r="I22">
        <v>168</v>
      </c>
      <c r="J22">
        <v>1656</v>
      </c>
      <c r="K22">
        <v>3</v>
      </c>
      <c r="L22">
        <v>6</v>
      </c>
      <c r="M22">
        <v>20</v>
      </c>
      <c r="N22" t="s">
        <v>20</v>
      </c>
      <c r="O22" t="b">
        <v>1</v>
      </c>
      <c r="P22">
        <v>0.5</v>
      </c>
      <c r="Q22" t="b">
        <v>0</v>
      </c>
      <c r="R22">
        <v>9066.9048757051896</v>
      </c>
      <c r="S22">
        <v>10670.358978870599</v>
      </c>
      <c r="T22">
        <v>9066.9341719471595</v>
      </c>
      <c r="U22">
        <v>9066.9048757051896</v>
      </c>
      <c r="V22">
        <v>0</v>
      </c>
      <c r="W22">
        <v>2208036</v>
      </c>
      <c r="X22">
        <v>3600.2071208953798</v>
      </c>
      <c r="Y22">
        <v>3600</v>
      </c>
      <c r="AC22" t="s">
        <v>42</v>
      </c>
      <c r="AD22">
        <v>4</v>
      </c>
      <c r="AE22">
        <v>168</v>
      </c>
      <c r="AF22">
        <v>1656</v>
      </c>
      <c r="AG22">
        <v>3</v>
      </c>
      <c r="AH22">
        <v>6</v>
      </c>
      <c r="AI22">
        <v>20</v>
      </c>
      <c r="AJ22" t="s">
        <v>20</v>
      </c>
      <c r="AK22" t="b">
        <v>1</v>
      </c>
      <c r="AL22">
        <v>0.5</v>
      </c>
      <c r="AM22" t="b">
        <v>1</v>
      </c>
      <c r="AN22">
        <v>9066.9048757051896</v>
      </c>
      <c r="AO22">
        <v>10398.564355234999</v>
      </c>
      <c r="AP22">
        <v>9066.9342083065294</v>
      </c>
      <c r="AQ22">
        <v>9066.9048757051896</v>
      </c>
      <c r="AR22">
        <v>0</v>
      </c>
      <c r="AS22">
        <v>138510</v>
      </c>
      <c r="AT22">
        <v>3600.1811850070899</v>
      </c>
      <c r="AU22">
        <v>3600</v>
      </c>
    </row>
    <row r="23" spans="1:47" x14ac:dyDescent="0.35">
      <c r="A23">
        <f t="shared" si="0"/>
        <v>19.4768781820272</v>
      </c>
      <c r="B23">
        <f t="shared" si="1"/>
        <v>15.571102517151763</v>
      </c>
      <c r="C23">
        <f t="shared" si="2"/>
        <v>0</v>
      </c>
      <c r="D23">
        <f t="shared" si="3"/>
        <v>0</v>
      </c>
      <c r="E23">
        <f t="shared" si="4"/>
        <v>0</v>
      </c>
      <c r="G23" t="s">
        <v>42</v>
      </c>
      <c r="H23">
        <v>4</v>
      </c>
      <c r="I23">
        <v>168</v>
      </c>
      <c r="J23">
        <v>1656</v>
      </c>
      <c r="K23">
        <v>3</v>
      </c>
      <c r="L23">
        <v>6</v>
      </c>
      <c r="M23">
        <v>21</v>
      </c>
      <c r="N23" t="s">
        <v>20</v>
      </c>
      <c r="O23" t="b">
        <v>1</v>
      </c>
      <c r="P23">
        <v>0.5</v>
      </c>
      <c r="Q23" t="b">
        <v>0</v>
      </c>
      <c r="R23">
        <v>9041.0452697790097</v>
      </c>
      <c r="S23">
        <v>10801.9586433558</v>
      </c>
      <c r="T23">
        <v>9041.0877892225999</v>
      </c>
      <c r="U23">
        <v>9041.0452697790097</v>
      </c>
      <c r="V23">
        <v>0</v>
      </c>
      <c r="W23">
        <v>3047847</v>
      </c>
      <c r="X23">
        <v>3600.18459320068</v>
      </c>
      <c r="Y23">
        <v>3600</v>
      </c>
      <c r="AC23" t="s">
        <v>42</v>
      </c>
      <c r="AD23">
        <v>4</v>
      </c>
      <c r="AE23">
        <v>168</v>
      </c>
      <c r="AF23">
        <v>1656</v>
      </c>
      <c r="AG23">
        <v>3</v>
      </c>
      <c r="AH23">
        <v>6</v>
      </c>
      <c r="AI23">
        <v>21</v>
      </c>
      <c r="AJ23" t="s">
        <v>20</v>
      </c>
      <c r="AK23" t="b">
        <v>1</v>
      </c>
      <c r="AL23">
        <v>0.5</v>
      </c>
      <c r="AM23" t="b">
        <v>1</v>
      </c>
      <c r="AN23">
        <v>9041.0452697790097</v>
      </c>
      <c r="AO23">
        <v>10448.8356973584</v>
      </c>
      <c r="AP23">
        <v>9041.0629513382901</v>
      </c>
      <c r="AQ23">
        <v>9041.0452697790097</v>
      </c>
      <c r="AR23">
        <v>0</v>
      </c>
      <c r="AS23">
        <v>160093</v>
      </c>
      <c r="AT23">
        <v>3600.2328538894599</v>
      </c>
      <c r="AU23">
        <v>3600</v>
      </c>
    </row>
    <row r="24" spans="1:47" x14ac:dyDescent="0.35">
      <c r="A24">
        <f t="shared" si="0"/>
        <v>20.848427905591542</v>
      </c>
      <c r="B24">
        <f t="shared" si="1"/>
        <v>14.838911537826386</v>
      </c>
      <c r="C24">
        <f t="shared" si="2"/>
        <v>0</v>
      </c>
      <c r="D24">
        <f t="shared" si="3"/>
        <v>0</v>
      </c>
      <c r="E24">
        <f t="shared" si="4"/>
        <v>0</v>
      </c>
      <c r="G24" t="s">
        <v>42</v>
      </c>
      <c r="H24">
        <v>4</v>
      </c>
      <c r="I24">
        <v>168</v>
      </c>
      <c r="J24">
        <v>1656</v>
      </c>
      <c r="K24">
        <v>3</v>
      </c>
      <c r="L24">
        <v>6</v>
      </c>
      <c r="M24">
        <v>22</v>
      </c>
      <c r="N24" t="s">
        <v>20</v>
      </c>
      <c r="O24" t="b">
        <v>1</v>
      </c>
      <c r="P24">
        <v>0.5</v>
      </c>
      <c r="Q24" t="b">
        <v>0</v>
      </c>
      <c r="R24">
        <v>9115.8802365992397</v>
      </c>
      <c r="S24">
        <v>11016.3979556867</v>
      </c>
      <c r="T24">
        <v>9115.8802365992397</v>
      </c>
      <c r="U24">
        <v>9115.8802365992397</v>
      </c>
      <c r="V24">
        <v>0</v>
      </c>
      <c r="W24">
        <v>2950050</v>
      </c>
      <c r="X24">
        <v>3600.1156170368099</v>
      </c>
      <c r="Y24">
        <v>3600</v>
      </c>
      <c r="AC24" t="s">
        <v>42</v>
      </c>
      <c r="AD24">
        <v>4</v>
      </c>
      <c r="AE24">
        <v>168</v>
      </c>
      <c r="AF24">
        <v>1656</v>
      </c>
      <c r="AG24">
        <v>3</v>
      </c>
      <c r="AH24">
        <v>6</v>
      </c>
      <c r="AI24">
        <v>22</v>
      </c>
      <c r="AJ24" t="s">
        <v>20</v>
      </c>
      <c r="AK24" t="b">
        <v>1</v>
      </c>
      <c r="AL24">
        <v>0.5</v>
      </c>
      <c r="AM24" t="b">
        <v>1</v>
      </c>
      <c r="AN24">
        <v>9115.8802365992397</v>
      </c>
      <c r="AO24">
        <v>10468.577640802399</v>
      </c>
      <c r="AP24">
        <v>9115.8802365992397</v>
      </c>
      <c r="AQ24">
        <v>9115.8802365992397</v>
      </c>
      <c r="AR24">
        <v>0</v>
      </c>
      <c r="AS24">
        <v>150618</v>
      </c>
      <c r="AT24">
        <v>3600.2145791053699</v>
      </c>
      <c r="AU24">
        <v>3600</v>
      </c>
    </row>
    <row r="25" spans="1:47" x14ac:dyDescent="0.35">
      <c r="A25">
        <f t="shared" si="0"/>
        <v>20.02220086779846</v>
      </c>
      <c r="B25">
        <f t="shared" si="1"/>
        <v>17.420539308679512</v>
      </c>
      <c r="C25">
        <f t="shared" si="2"/>
        <v>0</v>
      </c>
      <c r="D25">
        <f t="shared" si="3"/>
        <v>0</v>
      </c>
      <c r="E25">
        <f t="shared" si="4"/>
        <v>0</v>
      </c>
      <c r="G25" t="s">
        <v>42</v>
      </c>
      <c r="H25">
        <v>4</v>
      </c>
      <c r="I25">
        <v>168</v>
      </c>
      <c r="J25">
        <v>1656</v>
      </c>
      <c r="K25">
        <v>3</v>
      </c>
      <c r="L25">
        <v>6</v>
      </c>
      <c r="M25">
        <v>23</v>
      </c>
      <c r="N25" t="s">
        <v>20</v>
      </c>
      <c r="O25" t="b">
        <v>1</v>
      </c>
      <c r="P25">
        <v>0.5</v>
      </c>
      <c r="Q25" t="b">
        <v>0</v>
      </c>
      <c r="R25">
        <v>9075.8068113310601</v>
      </c>
      <c r="S25">
        <v>10892.983081469099</v>
      </c>
      <c r="T25">
        <v>9076.0020992925092</v>
      </c>
      <c r="U25">
        <v>9075.8068113310601</v>
      </c>
      <c r="V25">
        <v>0</v>
      </c>
      <c r="W25">
        <v>3555439</v>
      </c>
      <c r="X25">
        <v>3600.1183128356902</v>
      </c>
      <c r="Y25">
        <v>3600</v>
      </c>
      <c r="AC25" t="s">
        <v>42</v>
      </c>
      <c r="AD25">
        <v>4</v>
      </c>
      <c r="AE25">
        <v>168</v>
      </c>
      <c r="AF25">
        <v>1656</v>
      </c>
      <c r="AG25">
        <v>3</v>
      </c>
      <c r="AH25">
        <v>6</v>
      </c>
      <c r="AI25">
        <v>23</v>
      </c>
      <c r="AJ25" t="s">
        <v>20</v>
      </c>
      <c r="AK25" t="b">
        <v>1</v>
      </c>
      <c r="AL25">
        <v>0.5</v>
      </c>
      <c r="AM25" t="b">
        <v>1</v>
      </c>
      <c r="AN25">
        <v>9075.8068113310601</v>
      </c>
      <c r="AO25">
        <v>10656.8613044788</v>
      </c>
      <c r="AP25">
        <v>9075.8068539770593</v>
      </c>
      <c r="AQ25">
        <v>9075.8068113310601</v>
      </c>
      <c r="AR25">
        <v>0</v>
      </c>
      <c r="AS25">
        <v>189009</v>
      </c>
      <c r="AT25">
        <v>3600.2046878337801</v>
      </c>
      <c r="AU25">
        <v>3600</v>
      </c>
    </row>
    <row r="26" spans="1:47" x14ac:dyDescent="0.35">
      <c r="A26">
        <f t="shared" si="0"/>
        <v>20.195245980831388</v>
      </c>
      <c r="B26">
        <f t="shared" si="1"/>
        <v>14.629450870654912</v>
      </c>
      <c r="C26">
        <f t="shared" si="2"/>
        <v>0</v>
      </c>
      <c r="D26">
        <f t="shared" si="3"/>
        <v>0</v>
      </c>
      <c r="E26">
        <f t="shared" si="4"/>
        <v>0</v>
      </c>
      <c r="G26" t="s">
        <v>42</v>
      </c>
      <c r="H26">
        <v>4</v>
      </c>
      <c r="I26">
        <v>168</v>
      </c>
      <c r="J26">
        <v>1656</v>
      </c>
      <c r="K26">
        <v>3</v>
      </c>
      <c r="L26">
        <v>6</v>
      </c>
      <c r="M26">
        <v>24</v>
      </c>
      <c r="N26" t="s">
        <v>20</v>
      </c>
      <c r="O26" t="b">
        <v>1</v>
      </c>
      <c r="P26">
        <v>0.5</v>
      </c>
      <c r="Q26" t="b">
        <v>0</v>
      </c>
      <c r="R26">
        <v>8987.9687166680196</v>
      </c>
      <c r="S26">
        <v>10803.1111076793</v>
      </c>
      <c r="T26">
        <v>8988.0034672106103</v>
      </c>
      <c r="U26">
        <v>8987.9687166680196</v>
      </c>
      <c r="V26">
        <v>0</v>
      </c>
      <c r="W26">
        <v>3518659</v>
      </c>
      <c r="X26">
        <v>3600.2156288623801</v>
      </c>
      <c r="Y26">
        <v>3600</v>
      </c>
      <c r="AC26" t="s">
        <v>42</v>
      </c>
      <c r="AD26">
        <v>4</v>
      </c>
      <c r="AE26">
        <v>168</v>
      </c>
      <c r="AF26">
        <v>1656</v>
      </c>
      <c r="AG26">
        <v>3</v>
      </c>
      <c r="AH26">
        <v>6</v>
      </c>
      <c r="AI26">
        <v>24</v>
      </c>
      <c r="AJ26" t="s">
        <v>20</v>
      </c>
      <c r="AK26" t="b">
        <v>1</v>
      </c>
      <c r="AL26">
        <v>0.5</v>
      </c>
      <c r="AM26" t="b">
        <v>1</v>
      </c>
      <c r="AN26">
        <v>8987.9687166680196</v>
      </c>
      <c r="AO26">
        <v>10302.8591843428</v>
      </c>
      <c r="AP26">
        <v>8987.9882769473606</v>
      </c>
      <c r="AQ26">
        <v>8987.9687166680196</v>
      </c>
      <c r="AR26">
        <v>0</v>
      </c>
      <c r="AS26">
        <v>128261</v>
      </c>
      <c r="AT26">
        <v>3600.1343328952698</v>
      </c>
      <c r="AU26">
        <v>3600</v>
      </c>
    </row>
    <row r="27" spans="1:47" x14ac:dyDescent="0.35">
      <c r="A27">
        <f t="shared" si="0"/>
        <v>20.606955589297055</v>
      </c>
      <c r="B27">
        <f t="shared" si="1"/>
        <v>15.310433520420164</v>
      </c>
      <c r="C27">
        <f t="shared" si="2"/>
        <v>0</v>
      </c>
      <c r="D27">
        <f t="shared" si="3"/>
        <v>0</v>
      </c>
      <c r="E27">
        <f t="shared" si="4"/>
        <v>0</v>
      </c>
      <c r="G27" t="s">
        <v>42</v>
      </c>
      <c r="H27">
        <v>4</v>
      </c>
      <c r="I27">
        <v>168</v>
      </c>
      <c r="J27">
        <v>1656</v>
      </c>
      <c r="K27">
        <v>3</v>
      </c>
      <c r="L27">
        <v>6</v>
      </c>
      <c r="M27">
        <v>25</v>
      </c>
      <c r="N27" t="s">
        <v>20</v>
      </c>
      <c r="O27" t="b">
        <v>1</v>
      </c>
      <c r="P27">
        <v>0.5</v>
      </c>
      <c r="Q27" t="b">
        <v>0</v>
      </c>
      <c r="R27">
        <v>8957.66569560059</v>
      </c>
      <c r="S27">
        <v>10803.567887330701</v>
      </c>
      <c r="T27">
        <v>8957.6861662975098</v>
      </c>
      <c r="U27">
        <v>8957.66569560059</v>
      </c>
      <c r="V27">
        <v>0</v>
      </c>
      <c r="W27">
        <v>3613520</v>
      </c>
      <c r="X27">
        <v>3600.1322760581902</v>
      </c>
      <c r="Y27">
        <v>3600</v>
      </c>
      <c r="AC27" t="s">
        <v>42</v>
      </c>
      <c r="AD27">
        <v>4</v>
      </c>
      <c r="AE27">
        <v>168</v>
      </c>
      <c r="AF27">
        <v>1656</v>
      </c>
      <c r="AG27">
        <v>3</v>
      </c>
      <c r="AH27">
        <v>6</v>
      </c>
      <c r="AI27">
        <v>25</v>
      </c>
      <c r="AJ27" t="s">
        <v>20</v>
      </c>
      <c r="AK27" t="b">
        <v>1</v>
      </c>
      <c r="AL27">
        <v>0.5</v>
      </c>
      <c r="AM27" t="b">
        <v>1</v>
      </c>
      <c r="AN27">
        <v>8957.66569560059</v>
      </c>
      <c r="AO27">
        <v>10329.123146907001</v>
      </c>
      <c r="AP27">
        <v>8957.6723595276799</v>
      </c>
      <c r="AQ27">
        <v>8957.66569560059</v>
      </c>
      <c r="AR27">
        <v>0</v>
      </c>
      <c r="AS27">
        <v>126879</v>
      </c>
      <c r="AT27">
        <v>3600.1633729934601</v>
      </c>
      <c r="AU27">
        <v>3600</v>
      </c>
    </row>
    <row r="28" spans="1:47" x14ac:dyDescent="0.35">
      <c r="A28">
        <f t="shared" si="0"/>
        <v>18.72298081545247</v>
      </c>
      <c r="B28">
        <f t="shared" si="1"/>
        <v>16.07449033692598</v>
      </c>
      <c r="C28">
        <f t="shared" si="2"/>
        <v>7.134971877024765E-2</v>
      </c>
      <c r="D28">
        <f t="shared" si="3"/>
        <v>0</v>
      </c>
      <c r="E28">
        <f t="shared" si="4"/>
        <v>0</v>
      </c>
      <c r="G28" t="s">
        <v>42</v>
      </c>
      <c r="H28">
        <v>4</v>
      </c>
      <c r="I28">
        <v>168</v>
      </c>
      <c r="J28">
        <v>1656</v>
      </c>
      <c r="K28">
        <v>3</v>
      </c>
      <c r="L28">
        <v>6</v>
      </c>
      <c r="M28">
        <v>26</v>
      </c>
      <c r="N28" t="s">
        <v>20</v>
      </c>
      <c r="O28" t="b">
        <v>1</v>
      </c>
      <c r="P28">
        <v>0.5</v>
      </c>
      <c r="Q28" t="b">
        <v>0</v>
      </c>
      <c r="R28">
        <v>9119.9726084038302</v>
      </c>
      <c r="S28">
        <v>10827.5033302498</v>
      </c>
      <c r="T28">
        <v>9126.57694357131</v>
      </c>
      <c r="U28">
        <v>9126.47968321185</v>
      </c>
      <c r="V28">
        <v>0</v>
      </c>
      <c r="W28">
        <v>3004839</v>
      </c>
      <c r="X28">
        <v>3600.0609588623001</v>
      </c>
      <c r="Y28">
        <v>3600</v>
      </c>
      <c r="AC28" t="s">
        <v>42</v>
      </c>
      <c r="AD28">
        <v>4</v>
      </c>
      <c r="AE28">
        <v>168</v>
      </c>
      <c r="AF28">
        <v>1656</v>
      </c>
      <c r="AG28">
        <v>3</v>
      </c>
      <c r="AH28">
        <v>6</v>
      </c>
      <c r="AI28">
        <v>26</v>
      </c>
      <c r="AJ28" t="s">
        <v>20</v>
      </c>
      <c r="AK28" t="b">
        <v>1</v>
      </c>
      <c r="AL28">
        <v>0.5</v>
      </c>
      <c r="AM28" t="b">
        <v>1</v>
      </c>
      <c r="AN28">
        <v>9119.9726084038302</v>
      </c>
      <c r="AO28">
        <v>10585.961724072</v>
      </c>
      <c r="AP28">
        <v>9126.5162641803308</v>
      </c>
      <c r="AQ28">
        <v>9126.47968321185</v>
      </c>
      <c r="AR28">
        <v>0</v>
      </c>
      <c r="AS28">
        <v>231211</v>
      </c>
      <c r="AT28">
        <v>3600.3009729385299</v>
      </c>
      <c r="AU28">
        <v>3600</v>
      </c>
    </row>
    <row r="29" spans="1:47" x14ac:dyDescent="0.35">
      <c r="A29">
        <f t="shared" si="0"/>
        <v>17.765646883671984</v>
      </c>
      <c r="B29">
        <f t="shared" si="1"/>
        <v>14.97159013081083</v>
      </c>
      <c r="C29">
        <f t="shared" si="2"/>
        <v>0</v>
      </c>
      <c r="D29">
        <f t="shared" si="3"/>
        <v>0</v>
      </c>
      <c r="E29">
        <f t="shared" si="4"/>
        <v>0</v>
      </c>
      <c r="G29" t="s">
        <v>42</v>
      </c>
      <c r="H29">
        <v>4</v>
      </c>
      <c r="I29">
        <v>168</v>
      </c>
      <c r="J29">
        <v>1656</v>
      </c>
      <c r="K29">
        <v>3</v>
      </c>
      <c r="L29">
        <v>6</v>
      </c>
      <c r="M29">
        <v>27</v>
      </c>
      <c r="N29" t="s">
        <v>20</v>
      </c>
      <c r="O29" t="b">
        <v>1</v>
      </c>
      <c r="P29">
        <v>0.5</v>
      </c>
      <c r="Q29" t="b">
        <v>0</v>
      </c>
      <c r="R29">
        <v>9189.05689563345</v>
      </c>
      <c r="S29">
        <v>10821.5522956514</v>
      </c>
      <c r="T29">
        <v>9189.1353721531996</v>
      </c>
      <c r="U29">
        <v>9189.05689563345</v>
      </c>
      <c r="V29">
        <v>0</v>
      </c>
      <c r="W29">
        <v>2172447</v>
      </c>
      <c r="X29">
        <v>3600.1270329952199</v>
      </c>
      <c r="Y29">
        <v>3600</v>
      </c>
      <c r="AC29" t="s">
        <v>42</v>
      </c>
      <c r="AD29">
        <v>4</v>
      </c>
      <c r="AE29">
        <v>168</v>
      </c>
      <c r="AF29">
        <v>1656</v>
      </c>
      <c r="AG29">
        <v>3</v>
      </c>
      <c r="AH29">
        <v>6</v>
      </c>
      <c r="AI29">
        <v>27</v>
      </c>
      <c r="AJ29" t="s">
        <v>20</v>
      </c>
      <c r="AK29" t="b">
        <v>1</v>
      </c>
      <c r="AL29">
        <v>0.5</v>
      </c>
      <c r="AM29" t="b">
        <v>1</v>
      </c>
      <c r="AN29">
        <v>9189.05689563345</v>
      </c>
      <c r="AO29">
        <v>10564.8048309347</v>
      </c>
      <c r="AP29">
        <v>9189.1274112638293</v>
      </c>
      <c r="AQ29">
        <v>9189.05689563345</v>
      </c>
      <c r="AR29">
        <v>0</v>
      </c>
      <c r="AS29">
        <v>175402</v>
      </c>
      <c r="AT29">
        <v>3600.1377351284</v>
      </c>
      <c r="AU29">
        <v>3600</v>
      </c>
    </row>
    <row r="30" spans="1:47" x14ac:dyDescent="0.35">
      <c r="A30">
        <f t="shared" si="0"/>
        <v>18.875592541529397</v>
      </c>
      <c r="B30">
        <f t="shared" si="1"/>
        <v>14.562383636486384</v>
      </c>
      <c r="C30">
        <f t="shared" si="2"/>
        <v>0</v>
      </c>
      <c r="D30">
        <f t="shared" si="3"/>
        <v>0</v>
      </c>
      <c r="E30">
        <f t="shared" si="4"/>
        <v>0</v>
      </c>
      <c r="G30" t="s">
        <v>42</v>
      </c>
      <c r="H30">
        <v>4</v>
      </c>
      <c r="I30">
        <v>168</v>
      </c>
      <c r="J30">
        <v>1656</v>
      </c>
      <c r="K30">
        <v>3</v>
      </c>
      <c r="L30">
        <v>6</v>
      </c>
      <c r="M30">
        <v>28</v>
      </c>
      <c r="N30" t="s">
        <v>20</v>
      </c>
      <c r="O30" t="b">
        <v>1</v>
      </c>
      <c r="P30">
        <v>0.5</v>
      </c>
      <c r="Q30" t="b">
        <v>0</v>
      </c>
      <c r="R30">
        <v>9069.4069560885091</v>
      </c>
      <c r="S30">
        <v>10781.3112590529</v>
      </c>
      <c r="T30">
        <v>9069.6904903017294</v>
      </c>
      <c r="U30">
        <v>9069.4069560885091</v>
      </c>
      <c r="V30">
        <v>0</v>
      </c>
      <c r="W30">
        <v>3570743</v>
      </c>
      <c r="X30">
        <v>3600.07134008407</v>
      </c>
      <c r="Y30">
        <v>3600</v>
      </c>
      <c r="AC30" t="s">
        <v>42</v>
      </c>
      <c r="AD30">
        <v>4</v>
      </c>
      <c r="AE30">
        <v>168</v>
      </c>
      <c r="AF30">
        <v>1656</v>
      </c>
      <c r="AG30">
        <v>3</v>
      </c>
      <c r="AH30">
        <v>6</v>
      </c>
      <c r="AI30">
        <v>28</v>
      </c>
      <c r="AJ30" t="s">
        <v>20</v>
      </c>
      <c r="AK30" t="b">
        <v>1</v>
      </c>
      <c r="AL30">
        <v>0.5</v>
      </c>
      <c r="AM30" t="b">
        <v>1</v>
      </c>
      <c r="AN30">
        <v>9069.4069560885091</v>
      </c>
      <c r="AO30">
        <v>10390.1287905883</v>
      </c>
      <c r="AP30">
        <v>9069.4343451851601</v>
      </c>
      <c r="AQ30">
        <v>9069.4069560885091</v>
      </c>
      <c r="AR30">
        <v>0</v>
      </c>
      <c r="AS30">
        <v>151501</v>
      </c>
      <c r="AT30">
        <v>3600.0923938751198</v>
      </c>
      <c r="AU30">
        <v>3600</v>
      </c>
    </row>
    <row r="31" spans="1:47" x14ac:dyDescent="0.35">
      <c r="A31">
        <f t="shared" si="0"/>
        <v>19.721727680453693</v>
      </c>
      <c r="B31">
        <f t="shared" si="1"/>
        <v>15.477698091394853</v>
      </c>
      <c r="C31">
        <f t="shared" si="2"/>
        <v>0</v>
      </c>
      <c r="D31">
        <f t="shared" si="3"/>
        <v>0</v>
      </c>
      <c r="E31">
        <f t="shared" si="4"/>
        <v>0</v>
      </c>
      <c r="G31" t="s">
        <v>42</v>
      </c>
      <c r="H31">
        <v>4</v>
      </c>
      <c r="I31">
        <v>168</v>
      </c>
      <c r="J31">
        <v>1656</v>
      </c>
      <c r="K31">
        <v>3</v>
      </c>
      <c r="L31">
        <v>6</v>
      </c>
      <c r="M31">
        <v>29</v>
      </c>
      <c r="N31" t="s">
        <v>20</v>
      </c>
      <c r="O31" t="b">
        <v>1</v>
      </c>
      <c r="P31">
        <v>0.5</v>
      </c>
      <c r="Q31" t="b">
        <v>0</v>
      </c>
      <c r="R31">
        <v>9003.1548810439399</v>
      </c>
      <c r="S31">
        <v>10778.7325693329</v>
      </c>
      <c r="T31">
        <v>9003.1548810439399</v>
      </c>
      <c r="U31">
        <v>9003.1548810439399</v>
      </c>
      <c r="V31">
        <v>0</v>
      </c>
      <c r="W31">
        <v>2355742</v>
      </c>
      <c r="X31">
        <v>3600.1715009212398</v>
      </c>
      <c r="Y31">
        <v>3600</v>
      </c>
      <c r="AC31" t="s">
        <v>42</v>
      </c>
      <c r="AD31">
        <v>4</v>
      </c>
      <c r="AE31">
        <v>168</v>
      </c>
      <c r="AF31">
        <v>1656</v>
      </c>
      <c r="AG31">
        <v>3</v>
      </c>
      <c r="AH31">
        <v>6</v>
      </c>
      <c r="AI31">
        <v>29</v>
      </c>
      <c r="AJ31" t="s">
        <v>20</v>
      </c>
      <c r="AK31" t="b">
        <v>1</v>
      </c>
      <c r="AL31">
        <v>0.5</v>
      </c>
      <c r="AM31" t="b">
        <v>1</v>
      </c>
      <c r="AN31">
        <v>9003.1548810439399</v>
      </c>
      <c r="AO31">
        <v>10396.6360122326</v>
      </c>
      <c r="AP31">
        <v>9003.1548810439399</v>
      </c>
      <c r="AQ31">
        <v>9003.1548810439399</v>
      </c>
      <c r="AR31">
        <v>0</v>
      </c>
      <c r="AS31">
        <v>168402</v>
      </c>
      <c r="AT31">
        <v>3600.1374981403301</v>
      </c>
      <c r="AU31">
        <v>3600</v>
      </c>
    </row>
    <row r="32" spans="1:47" x14ac:dyDescent="0.35">
      <c r="A32">
        <f t="shared" si="0"/>
        <v>19.260546591547502</v>
      </c>
      <c r="B32">
        <f t="shared" si="1"/>
        <v>16.415527527891033</v>
      </c>
      <c r="C32">
        <f t="shared" si="2"/>
        <v>0.11889730763869598</v>
      </c>
      <c r="D32">
        <f t="shared" si="3"/>
        <v>0</v>
      </c>
      <c r="E32">
        <f t="shared" si="4"/>
        <v>0</v>
      </c>
      <c r="G32" t="s">
        <v>42</v>
      </c>
      <c r="H32">
        <v>4</v>
      </c>
      <c r="I32">
        <v>168</v>
      </c>
      <c r="J32">
        <v>1656</v>
      </c>
      <c r="K32">
        <v>3</v>
      </c>
      <c r="L32">
        <v>6</v>
      </c>
      <c r="M32">
        <v>30</v>
      </c>
      <c r="N32" t="s">
        <v>20</v>
      </c>
      <c r="O32" t="b">
        <v>1</v>
      </c>
      <c r="P32">
        <v>0.5</v>
      </c>
      <c r="Q32" t="b">
        <v>0</v>
      </c>
      <c r="R32">
        <v>9099.1449723536698</v>
      </c>
      <c r="S32">
        <v>10851.6900291863</v>
      </c>
      <c r="T32">
        <v>9110.0384473992308</v>
      </c>
      <c r="U32">
        <v>9109.9636107439401</v>
      </c>
      <c r="V32">
        <v>0</v>
      </c>
      <c r="W32">
        <v>1635849</v>
      </c>
      <c r="X32">
        <v>3600.09119296073</v>
      </c>
      <c r="Y32">
        <v>3600</v>
      </c>
      <c r="AC32" t="s">
        <v>42</v>
      </c>
      <c r="AD32">
        <v>4</v>
      </c>
      <c r="AE32">
        <v>168</v>
      </c>
      <c r="AF32">
        <v>1656</v>
      </c>
      <c r="AG32">
        <v>3</v>
      </c>
      <c r="AH32">
        <v>6</v>
      </c>
      <c r="AI32">
        <v>30</v>
      </c>
      <c r="AJ32" t="s">
        <v>20</v>
      </c>
      <c r="AK32" t="b">
        <v>1</v>
      </c>
      <c r="AL32">
        <v>0.5</v>
      </c>
      <c r="AM32" t="b">
        <v>1</v>
      </c>
      <c r="AN32">
        <v>9099.1449723536698</v>
      </c>
      <c r="AO32">
        <v>10592.817620093099</v>
      </c>
      <c r="AP32">
        <v>9109.9971406966506</v>
      </c>
      <c r="AQ32">
        <v>9109.9636107439401</v>
      </c>
      <c r="AR32">
        <v>0</v>
      </c>
      <c r="AS32">
        <v>123399</v>
      </c>
      <c r="AT32">
        <v>3600.2460951805101</v>
      </c>
      <c r="AU32">
        <v>3600</v>
      </c>
    </row>
    <row r="33" spans="1:47" x14ac:dyDescent="0.35">
      <c r="A33">
        <f t="shared" si="0"/>
        <v>22.35771031323215</v>
      </c>
      <c r="B33">
        <f t="shared" si="1"/>
        <v>15.525823668963104</v>
      </c>
      <c r="C33">
        <f t="shared" si="2"/>
        <v>1.805743733640219E-2</v>
      </c>
      <c r="D33">
        <f t="shared" si="3"/>
        <v>0</v>
      </c>
      <c r="E33">
        <f t="shared" si="4"/>
        <v>0</v>
      </c>
      <c r="G33" t="s">
        <v>42</v>
      </c>
      <c r="H33">
        <v>4</v>
      </c>
      <c r="I33">
        <v>168</v>
      </c>
      <c r="J33">
        <v>1656</v>
      </c>
      <c r="K33">
        <v>3</v>
      </c>
      <c r="L33">
        <v>6</v>
      </c>
      <c r="M33">
        <v>31</v>
      </c>
      <c r="N33" t="s">
        <v>20</v>
      </c>
      <c r="O33" t="b">
        <v>1</v>
      </c>
      <c r="P33">
        <v>0.5</v>
      </c>
      <c r="Q33" t="b">
        <v>0</v>
      </c>
      <c r="R33">
        <v>8982.1550326623492</v>
      </c>
      <c r="S33">
        <v>10990.3592347504</v>
      </c>
      <c r="T33">
        <v>8982.2284279039795</v>
      </c>
      <c r="U33">
        <v>8982.1550326623492</v>
      </c>
      <c r="V33">
        <v>0</v>
      </c>
      <c r="W33">
        <v>3244960</v>
      </c>
      <c r="X33">
        <v>3600.07743787765</v>
      </c>
      <c r="Y33">
        <v>3600</v>
      </c>
      <c r="AC33" t="s">
        <v>42</v>
      </c>
      <c r="AD33">
        <v>4</v>
      </c>
      <c r="AE33">
        <v>168</v>
      </c>
      <c r="AF33">
        <v>1656</v>
      </c>
      <c r="AG33">
        <v>3</v>
      </c>
      <c r="AH33">
        <v>6</v>
      </c>
      <c r="AI33">
        <v>31</v>
      </c>
      <c r="AJ33" t="s">
        <v>20</v>
      </c>
      <c r="AK33" t="b">
        <v>1</v>
      </c>
      <c r="AL33">
        <v>0.5</v>
      </c>
      <c r="AM33" t="b">
        <v>1</v>
      </c>
      <c r="AN33">
        <v>8982.1550326623492</v>
      </c>
      <c r="AO33">
        <v>10376.708584706401</v>
      </c>
      <c r="AP33">
        <v>8983.7988352739103</v>
      </c>
      <c r="AQ33">
        <v>8983.7769796788307</v>
      </c>
      <c r="AR33">
        <v>0</v>
      </c>
      <c r="AS33">
        <v>165250</v>
      </c>
      <c r="AT33">
        <v>3600.4249360561298</v>
      </c>
      <c r="AU33">
        <v>3600</v>
      </c>
    </row>
    <row r="34" spans="1:47" x14ac:dyDescent="0.35">
      <c r="A34">
        <f t="shared" si="0"/>
        <v>20.272332839634156</v>
      </c>
      <c r="B34">
        <f t="shared" si="1"/>
        <v>16.005170247093371</v>
      </c>
      <c r="C34">
        <f t="shared" si="2"/>
        <v>8.3506544934787902E-2</v>
      </c>
      <c r="D34">
        <f t="shared" si="3"/>
        <v>0</v>
      </c>
      <c r="E34">
        <f t="shared" si="4"/>
        <v>0</v>
      </c>
      <c r="G34" t="s">
        <v>42</v>
      </c>
      <c r="H34">
        <v>4</v>
      </c>
      <c r="I34">
        <v>168</v>
      </c>
      <c r="J34">
        <v>1656</v>
      </c>
      <c r="K34">
        <v>3</v>
      </c>
      <c r="L34">
        <v>6</v>
      </c>
      <c r="M34">
        <v>32</v>
      </c>
      <c r="N34" t="s">
        <v>20</v>
      </c>
      <c r="O34" t="b">
        <v>1</v>
      </c>
      <c r="P34">
        <v>0.5</v>
      </c>
      <c r="Q34" t="b">
        <v>0</v>
      </c>
      <c r="R34">
        <v>9048.3165968490102</v>
      </c>
      <c r="S34">
        <v>10882.6214537461</v>
      </c>
      <c r="T34">
        <v>9055.8955740421006</v>
      </c>
      <c r="U34">
        <v>9055.8725334137998</v>
      </c>
      <c r="V34">
        <v>0</v>
      </c>
      <c r="W34">
        <v>3390377</v>
      </c>
      <c r="X34">
        <v>3600.0658609867</v>
      </c>
      <c r="Y34">
        <v>3600</v>
      </c>
      <c r="AC34" t="s">
        <v>42</v>
      </c>
      <c r="AD34">
        <v>4</v>
      </c>
      <c r="AE34">
        <v>168</v>
      </c>
      <c r="AF34">
        <v>1656</v>
      </c>
      <c r="AG34">
        <v>3</v>
      </c>
      <c r="AH34">
        <v>6</v>
      </c>
      <c r="AI34">
        <v>32</v>
      </c>
      <c r="AJ34" t="s">
        <v>20</v>
      </c>
      <c r="AK34" t="b">
        <v>1</v>
      </c>
      <c r="AL34">
        <v>0.5</v>
      </c>
      <c r="AM34" t="b">
        <v>1</v>
      </c>
      <c r="AN34">
        <v>9048.3165968490102</v>
      </c>
      <c r="AO34">
        <v>10496.5150726707</v>
      </c>
      <c r="AP34">
        <v>9055.8845318994099</v>
      </c>
      <c r="AQ34">
        <v>9055.8725334137998</v>
      </c>
      <c r="AR34">
        <v>0</v>
      </c>
      <c r="AS34">
        <v>155108</v>
      </c>
      <c r="AT34">
        <v>3600.3105740547098</v>
      </c>
      <c r="AU34">
        <v>3600</v>
      </c>
    </row>
    <row r="35" spans="1:47" x14ac:dyDescent="0.35">
      <c r="A35">
        <f t="shared" si="0"/>
        <v>16.573951169951851</v>
      </c>
      <c r="B35">
        <f t="shared" si="1"/>
        <v>14.890667840469105</v>
      </c>
      <c r="C35">
        <f t="shared" si="2"/>
        <v>4.1514313635339625E-2</v>
      </c>
      <c r="D35">
        <f t="shared" si="3"/>
        <v>0</v>
      </c>
      <c r="E35">
        <f t="shared" si="4"/>
        <v>0</v>
      </c>
      <c r="G35" t="s">
        <v>42</v>
      </c>
      <c r="H35">
        <v>4</v>
      </c>
      <c r="I35">
        <v>168</v>
      </c>
      <c r="J35">
        <v>1656</v>
      </c>
      <c r="K35">
        <v>3</v>
      </c>
      <c r="L35">
        <v>6</v>
      </c>
      <c r="M35">
        <v>33</v>
      </c>
      <c r="N35" t="s">
        <v>20</v>
      </c>
      <c r="O35" t="b">
        <v>1</v>
      </c>
      <c r="P35">
        <v>0.5</v>
      </c>
      <c r="Q35" t="b">
        <v>0</v>
      </c>
      <c r="R35">
        <v>9093.6122875129604</v>
      </c>
      <c r="S35">
        <v>10600.7831476301</v>
      </c>
      <c r="T35">
        <v>9097.4055988253094</v>
      </c>
      <c r="U35">
        <v>9097.3874382387803</v>
      </c>
      <c r="V35">
        <v>0</v>
      </c>
      <c r="W35">
        <v>1769470</v>
      </c>
      <c r="X35">
        <v>3600.0586040019898</v>
      </c>
      <c r="Y35">
        <v>3600</v>
      </c>
      <c r="AC35" t="s">
        <v>42</v>
      </c>
      <c r="AD35">
        <v>4</v>
      </c>
      <c r="AE35">
        <v>168</v>
      </c>
      <c r="AF35">
        <v>1656</v>
      </c>
      <c r="AG35">
        <v>3</v>
      </c>
      <c r="AH35">
        <v>6</v>
      </c>
      <c r="AI35">
        <v>33</v>
      </c>
      <c r="AJ35" t="s">
        <v>20</v>
      </c>
      <c r="AK35" t="b">
        <v>1</v>
      </c>
      <c r="AL35">
        <v>0.5</v>
      </c>
      <c r="AM35" t="b">
        <v>1</v>
      </c>
      <c r="AN35">
        <v>9093.6122875129604</v>
      </c>
      <c r="AO35">
        <v>10447.7118879466</v>
      </c>
      <c r="AP35">
        <v>9097.4055988253695</v>
      </c>
      <c r="AQ35">
        <v>9097.3874382387803</v>
      </c>
      <c r="AR35">
        <v>0</v>
      </c>
      <c r="AS35">
        <v>168913</v>
      </c>
      <c r="AT35">
        <v>3600.2749938964798</v>
      </c>
      <c r="AU35">
        <v>3600</v>
      </c>
    </row>
    <row r="36" spans="1:47" x14ac:dyDescent="0.35">
      <c r="A36">
        <f t="shared" si="0"/>
        <v>17.342579975988478</v>
      </c>
      <c r="B36">
        <f t="shared" si="1"/>
        <v>12.872152422619386</v>
      </c>
      <c r="C36">
        <f t="shared" si="2"/>
        <v>0</v>
      </c>
      <c r="D36">
        <f t="shared" si="3"/>
        <v>0</v>
      </c>
      <c r="E36">
        <f t="shared" si="4"/>
        <v>0</v>
      </c>
      <c r="G36" t="s">
        <v>42</v>
      </c>
      <c r="H36">
        <v>4</v>
      </c>
      <c r="I36">
        <v>168</v>
      </c>
      <c r="J36">
        <v>1656</v>
      </c>
      <c r="K36">
        <v>3</v>
      </c>
      <c r="L36">
        <v>6</v>
      </c>
      <c r="M36">
        <v>34</v>
      </c>
      <c r="N36" t="s">
        <v>20</v>
      </c>
      <c r="O36" t="b">
        <v>1</v>
      </c>
      <c r="P36">
        <v>0.5</v>
      </c>
      <c r="Q36" t="b">
        <v>0</v>
      </c>
      <c r="R36">
        <v>9022.47492225715</v>
      </c>
      <c r="S36">
        <v>10587.204851463101</v>
      </c>
      <c r="T36">
        <v>9022.47492225715</v>
      </c>
      <c r="U36">
        <v>9022.47492225715</v>
      </c>
      <c r="V36">
        <v>0</v>
      </c>
      <c r="W36">
        <v>2289137</v>
      </c>
      <c r="X36">
        <v>3600.0827798843302</v>
      </c>
      <c r="Y36">
        <v>3600</v>
      </c>
      <c r="AC36" t="s">
        <v>42</v>
      </c>
      <c r="AD36">
        <v>4</v>
      </c>
      <c r="AE36">
        <v>168</v>
      </c>
      <c r="AF36">
        <v>1656</v>
      </c>
      <c r="AG36">
        <v>3</v>
      </c>
      <c r="AH36">
        <v>6</v>
      </c>
      <c r="AI36">
        <v>34</v>
      </c>
      <c r="AJ36" t="s">
        <v>20</v>
      </c>
      <c r="AK36" t="b">
        <v>1</v>
      </c>
      <c r="AL36">
        <v>0.5</v>
      </c>
      <c r="AM36" t="b">
        <v>1</v>
      </c>
      <c r="AN36">
        <v>9022.47492225715</v>
      </c>
      <c r="AO36">
        <v>10183.8616465427</v>
      </c>
      <c r="AP36">
        <v>9022.47492225715</v>
      </c>
      <c r="AQ36">
        <v>9022.47492225715</v>
      </c>
      <c r="AR36">
        <v>0</v>
      </c>
      <c r="AS36">
        <v>138604</v>
      </c>
      <c r="AT36">
        <v>3600.2315289974199</v>
      </c>
      <c r="AU36">
        <v>3600</v>
      </c>
    </row>
    <row r="37" spans="1:47" x14ac:dyDescent="0.35">
      <c r="A37">
        <f t="shared" si="0"/>
        <v>17.564226375555975</v>
      </c>
      <c r="B37">
        <f t="shared" si="1"/>
        <v>14.404628606141189</v>
      </c>
      <c r="C37">
        <f t="shared" si="2"/>
        <v>0.12540058455377706</v>
      </c>
      <c r="D37">
        <f t="shared" si="3"/>
        <v>0</v>
      </c>
      <c r="E37">
        <f t="shared" si="4"/>
        <v>0</v>
      </c>
      <c r="G37" t="s">
        <v>42</v>
      </c>
      <c r="H37">
        <v>4</v>
      </c>
      <c r="I37">
        <v>168</v>
      </c>
      <c r="J37">
        <v>1656</v>
      </c>
      <c r="K37">
        <v>3</v>
      </c>
      <c r="L37">
        <v>6</v>
      </c>
      <c r="M37">
        <v>35</v>
      </c>
      <c r="N37" t="s">
        <v>20</v>
      </c>
      <c r="O37" t="b">
        <v>1</v>
      </c>
      <c r="P37">
        <v>0.5</v>
      </c>
      <c r="Q37" t="b">
        <v>0</v>
      </c>
      <c r="R37">
        <v>9036.3482106895808</v>
      </c>
      <c r="S37">
        <v>10623.5128664986</v>
      </c>
      <c r="T37">
        <v>9047.6798441681094</v>
      </c>
      <c r="U37">
        <v>9047.6798441681003</v>
      </c>
      <c r="V37">
        <v>0</v>
      </c>
      <c r="W37">
        <v>3042610</v>
      </c>
      <c r="X37">
        <v>3600.13667917251</v>
      </c>
      <c r="Y37">
        <v>3600</v>
      </c>
      <c r="AC37" t="s">
        <v>42</v>
      </c>
      <c r="AD37">
        <v>4</v>
      </c>
      <c r="AE37">
        <v>168</v>
      </c>
      <c r="AF37">
        <v>1656</v>
      </c>
      <c r="AG37">
        <v>3</v>
      </c>
      <c r="AH37">
        <v>6</v>
      </c>
      <c r="AI37">
        <v>35</v>
      </c>
      <c r="AJ37" t="s">
        <v>20</v>
      </c>
      <c r="AK37" t="b">
        <v>1</v>
      </c>
      <c r="AL37">
        <v>0.5</v>
      </c>
      <c r="AM37" t="b">
        <v>1</v>
      </c>
      <c r="AN37">
        <v>9036.3482106895808</v>
      </c>
      <c r="AO37">
        <v>10338.0006099971</v>
      </c>
      <c r="AP37">
        <v>9047.6798458646099</v>
      </c>
      <c r="AQ37">
        <v>9047.6798441681003</v>
      </c>
      <c r="AR37">
        <v>0</v>
      </c>
      <c r="AS37">
        <v>163241</v>
      </c>
      <c r="AT37">
        <v>3600.3415770530701</v>
      </c>
      <c r="AU37">
        <v>3600</v>
      </c>
    </row>
    <row r="38" spans="1:47" x14ac:dyDescent="0.35">
      <c r="A38">
        <f t="shared" si="0"/>
        <v>18.890173395425744</v>
      </c>
      <c r="B38">
        <f t="shared" si="1"/>
        <v>15.586769825593969</v>
      </c>
      <c r="C38">
        <f t="shared" si="2"/>
        <v>0</v>
      </c>
      <c r="D38">
        <f t="shared" si="3"/>
        <v>0</v>
      </c>
      <c r="E38">
        <f t="shared" si="4"/>
        <v>0</v>
      </c>
      <c r="G38" t="s">
        <v>42</v>
      </c>
      <c r="H38">
        <v>4</v>
      </c>
      <c r="I38">
        <v>168</v>
      </c>
      <c r="J38">
        <v>1656</v>
      </c>
      <c r="K38">
        <v>3</v>
      </c>
      <c r="L38">
        <v>6</v>
      </c>
      <c r="M38">
        <v>36</v>
      </c>
      <c r="N38" t="s">
        <v>20</v>
      </c>
      <c r="O38" t="b">
        <v>1</v>
      </c>
      <c r="P38">
        <v>0.5</v>
      </c>
      <c r="Q38" t="b">
        <v>0</v>
      </c>
      <c r="R38">
        <v>9071.1243943518693</v>
      </c>
      <c r="S38">
        <v>10784.675521359701</v>
      </c>
      <c r="T38">
        <v>9072.2115683424308</v>
      </c>
      <c r="U38">
        <v>9072.1749482748892</v>
      </c>
      <c r="V38">
        <v>0</v>
      </c>
      <c r="W38">
        <v>3653179</v>
      </c>
      <c r="X38">
        <v>3600.09193491935</v>
      </c>
      <c r="Y38">
        <v>3600</v>
      </c>
      <c r="AC38" t="s">
        <v>42</v>
      </c>
      <c r="AD38">
        <v>4</v>
      </c>
      <c r="AE38">
        <v>168</v>
      </c>
      <c r="AF38">
        <v>1656</v>
      </c>
      <c r="AG38">
        <v>3</v>
      </c>
      <c r="AH38">
        <v>6</v>
      </c>
      <c r="AI38">
        <v>36</v>
      </c>
      <c r="AJ38" t="s">
        <v>20</v>
      </c>
      <c r="AK38" t="b">
        <v>1</v>
      </c>
      <c r="AL38">
        <v>0.5</v>
      </c>
      <c r="AM38" t="b">
        <v>1</v>
      </c>
      <c r="AN38">
        <v>9071.1243943518693</v>
      </c>
      <c r="AO38">
        <v>10485.0196742928</v>
      </c>
      <c r="AP38">
        <v>9071.1828363789191</v>
      </c>
      <c r="AQ38">
        <v>9071.1243943518693</v>
      </c>
      <c r="AR38">
        <v>0</v>
      </c>
      <c r="AS38">
        <v>116264</v>
      </c>
      <c r="AT38">
        <v>3600.1257488727501</v>
      </c>
      <c r="AU38">
        <v>3600</v>
      </c>
    </row>
    <row r="39" spans="1:47" x14ac:dyDescent="0.35">
      <c r="A39">
        <f t="shared" si="0"/>
        <v>19.891320157500804</v>
      </c>
      <c r="B39">
        <f t="shared" si="1"/>
        <v>15.009850507854654</v>
      </c>
      <c r="C39">
        <f t="shared" si="2"/>
        <v>0</v>
      </c>
      <c r="D39">
        <f t="shared" si="3"/>
        <v>0</v>
      </c>
      <c r="E39">
        <f t="shared" si="4"/>
        <v>0</v>
      </c>
      <c r="G39" t="s">
        <v>42</v>
      </c>
      <c r="H39">
        <v>4</v>
      </c>
      <c r="I39">
        <v>168</v>
      </c>
      <c r="J39">
        <v>1656</v>
      </c>
      <c r="K39">
        <v>3</v>
      </c>
      <c r="L39">
        <v>6</v>
      </c>
      <c r="M39">
        <v>37</v>
      </c>
      <c r="N39" t="s">
        <v>20</v>
      </c>
      <c r="O39" t="b">
        <v>1</v>
      </c>
      <c r="P39">
        <v>0.5</v>
      </c>
      <c r="Q39" t="b">
        <v>0</v>
      </c>
      <c r="R39">
        <v>9084.3533702835794</v>
      </c>
      <c r="S39">
        <v>10891.351183405401</v>
      </c>
      <c r="T39">
        <v>9084.3896320145395</v>
      </c>
      <c r="U39">
        <v>9084.3533702835794</v>
      </c>
      <c r="V39">
        <v>0</v>
      </c>
      <c r="W39">
        <v>3049025</v>
      </c>
      <c r="X39">
        <v>3600.1136250495902</v>
      </c>
      <c r="Y39">
        <v>3600</v>
      </c>
      <c r="AC39" t="s">
        <v>42</v>
      </c>
      <c r="AD39">
        <v>4</v>
      </c>
      <c r="AE39">
        <v>168</v>
      </c>
      <c r="AF39">
        <v>1656</v>
      </c>
      <c r="AG39">
        <v>3</v>
      </c>
      <c r="AH39">
        <v>6</v>
      </c>
      <c r="AI39">
        <v>37</v>
      </c>
      <c r="AJ39" t="s">
        <v>20</v>
      </c>
      <c r="AK39" t="b">
        <v>1</v>
      </c>
      <c r="AL39">
        <v>0.5</v>
      </c>
      <c r="AM39" t="b">
        <v>1</v>
      </c>
      <c r="AN39">
        <v>9084.3533702835794</v>
      </c>
      <c r="AO39">
        <v>10447.901230768401</v>
      </c>
      <c r="AP39">
        <v>9084.3657410825308</v>
      </c>
      <c r="AQ39">
        <v>9084.3533702835794</v>
      </c>
      <c r="AR39">
        <v>0</v>
      </c>
      <c r="AS39">
        <v>150805</v>
      </c>
      <c r="AT39">
        <v>3600.2187750339499</v>
      </c>
      <c r="AU39">
        <v>3600</v>
      </c>
    </row>
    <row r="40" spans="1:47" x14ac:dyDescent="0.35">
      <c r="A40">
        <f t="shared" si="0"/>
        <v>19.568465037728284</v>
      </c>
      <c r="B40">
        <f t="shared" si="1"/>
        <v>13.994128669740203</v>
      </c>
      <c r="C40">
        <f t="shared" si="2"/>
        <v>0</v>
      </c>
      <c r="D40">
        <f t="shared" si="3"/>
        <v>0</v>
      </c>
      <c r="E40">
        <f t="shared" si="4"/>
        <v>0</v>
      </c>
      <c r="G40" t="s">
        <v>42</v>
      </c>
      <c r="H40">
        <v>4</v>
      </c>
      <c r="I40">
        <v>168</v>
      </c>
      <c r="J40">
        <v>1656</v>
      </c>
      <c r="K40">
        <v>3</v>
      </c>
      <c r="L40">
        <v>6</v>
      </c>
      <c r="M40">
        <v>38</v>
      </c>
      <c r="N40" t="s">
        <v>20</v>
      </c>
      <c r="O40" t="b">
        <v>1</v>
      </c>
      <c r="P40">
        <v>0.5</v>
      </c>
      <c r="Q40" t="b">
        <v>0</v>
      </c>
      <c r="R40">
        <v>9045.0070894623204</v>
      </c>
      <c r="S40">
        <v>10814.976139423799</v>
      </c>
      <c r="T40">
        <v>9045.0180312387492</v>
      </c>
      <c r="U40">
        <v>9045.0070894623204</v>
      </c>
      <c r="V40">
        <v>0</v>
      </c>
      <c r="W40">
        <v>2782206</v>
      </c>
      <c r="X40">
        <v>3600.1043171882602</v>
      </c>
      <c r="Y40">
        <v>3600</v>
      </c>
      <c r="AC40" t="s">
        <v>42</v>
      </c>
      <c r="AD40">
        <v>4</v>
      </c>
      <c r="AE40">
        <v>168</v>
      </c>
      <c r="AF40">
        <v>1656</v>
      </c>
      <c r="AG40">
        <v>3</v>
      </c>
      <c r="AH40">
        <v>6</v>
      </c>
      <c r="AI40">
        <v>38</v>
      </c>
      <c r="AJ40" t="s">
        <v>20</v>
      </c>
      <c r="AK40" t="b">
        <v>1</v>
      </c>
      <c r="AL40">
        <v>0.5</v>
      </c>
      <c r="AM40" t="b">
        <v>1</v>
      </c>
      <c r="AN40">
        <v>9045.0070894623204</v>
      </c>
      <c r="AO40">
        <v>10310.777019748801</v>
      </c>
      <c r="AP40">
        <v>9045.0070894623295</v>
      </c>
      <c r="AQ40">
        <v>9045.0070894623204</v>
      </c>
      <c r="AR40">
        <v>0</v>
      </c>
      <c r="AS40">
        <v>178005</v>
      </c>
      <c r="AT40">
        <v>3600.2002668380701</v>
      </c>
      <c r="AU40">
        <v>3600</v>
      </c>
    </row>
    <row r="41" spans="1:47" x14ac:dyDescent="0.35">
      <c r="A41">
        <f t="shared" si="0"/>
        <v>18.769446431962685</v>
      </c>
      <c r="B41">
        <f t="shared" si="1"/>
        <v>15.436329751658494</v>
      </c>
      <c r="C41">
        <f t="shared" si="2"/>
        <v>0</v>
      </c>
      <c r="D41">
        <f t="shared" si="3"/>
        <v>0</v>
      </c>
      <c r="E41">
        <f t="shared" si="4"/>
        <v>0</v>
      </c>
      <c r="G41" t="s">
        <v>42</v>
      </c>
      <c r="H41">
        <v>4</v>
      </c>
      <c r="I41">
        <v>168</v>
      </c>
      <c r="J41">
        <v>1656</v>
      </c>
      <c r="K41">
        <v>3</v>
      </c>
      <c r="L41">
        <v>6</v>
      </c>
      <c r="M41">
        <v>39</v>
      </c>
      <c r="N41" t="s">
        <v>20</v>
      </c>
      <c r="O41" t="b">
        <v>1</v>
      </c>
      <c r="P41">
        <v>0.5</v>
      </c>
      <c r="Q41" t="b">
        <v>0</v>
      </c>
      <c r="R41">
        <v>9064.6306642864001</v>
      </c>
      <c r="S41">
        <v>10766.011661074899</v>
      </c>
      <c r="T41">
        <v>9064.6306642864001</v>
      </c>
      <c r="U41">
        <v>9064.6306642864001</v>
      </c>
      <c r="V41">
        <v>0</v>
      </c>
      <c r="W41">
        <v>3153629</v>
      </c>
      <c r="X41">
        <v>3600.05786705017</v>
      </c>
      <c r="Y41">
        <v>3600</v>
      </c>
      <c r="AC41" t="s">
        <v>42</v>
      </c>
      <c r="AD41">
        <v>4</v>
      </c>
      <c r="AE41">
        <v>168</v>
      </c>
      <c r="AF41">
        <v>1656</v>
      </c>
      <c r="AG41">
        <v>3</v>
      </c>
      <c r="AH41">
        <v>6</v>
      </c>
      <c r="AI41">
        <v>39</v>
      </c>
      <c r="AJ41" t="s">
        <v>20</v>
      </c>
      <c r="AK41" t="b">
        <v>1</v>
      </c>
      <c r="AL41">
        <v>0.5</v>
      </c>
      <c r="AM41" t="b">
        <v>1</v>
      </c>
      <c r="AN41">
        <v>9064.6306642864001</v>
      </c>
      <c r="AO41">
        <v>10463.876944395601</v>
      </c>
      <c r="AP41">
        <v>9064.6306642864001</v>
      </c>
      <c r="AQ41">
        <v>9064.6306642864001</v>
      </c>
      <c r="AR41">
        <v>0</v>
      </c>
      <c r="AS41">
        <v>214458</v>
      </c>
      <c r="AT41">
        <v>3600.4101538658101</v>
      </c>
      <c r="AU41">
        <v>3600</v>
      </c>
    </row>
    <row r="42" spans="1:47" x14ac:dyDescent="0.35">
      <c r="A42">
        <f t="shared" si="0"/>
        <v>18.915610349599852</v>
      </c>
      <c r="B42">
        <f t="shared" si="1"/>
        <v>15.874711752722076</v>
      </c>
      <c r="C42">
        <f t="shared" si="2"/>
        <v>0</v>
      </c>
      <c r="D42">
        <f t="shared" si="3"/>
        <v>0</v>
      </c>
      <c r="E42">
        <f t="shared" si="4"/>
        <v>0</v>
      </c>
      <c r="G42" t="s">
        <v>42</v>
      </c>
      <c r="H42">
        <v>4</v>
      </c>
      <c r="I42">
        <v>168</v>
      </c>
      <c r="J42">
        <v>1656</v>
      </c>
      <c r="K42">
        <v>3</v>
      </c>
      <c r="L42">
        <v>6</v>
      </c>
      <c r="M42">
        <v>40</v>
      </c>
      <c r="N42" t="s">
        <v>20</v>
      </c>
      <c r="O42" t="b">
        <v>1</v>
      </c>
      <c r="P42">
        <v>0.5</v>
      </c>
      <c r="Q42" t="b">
        <v>0</v>
      </c>
      <c r="R42">
        <v>9031.4460185480093</v>
      </c>
      <c r="S42">
        <v>10739.799156351</v>
      </c>
      <c r="T42">
        <v>9031.4460185480202</v>
      </c>
      <c r="U42">
        <v>9031.4460185480093</v>
      </c>
      <c r="V42">
        <v>0</v>
      </c>
      <c r="W42">
        <v>3385864</v>
      </c>
      <c r="X42">
        <v>3600.1904799938202</v>
      </c>
      <c r="Y42">
        <v>3600</v>
      </c>
      <c r="AC42" t="s">
        <v>42</v>
      </c>
      <c r="AD42">
        <v>4</v>
      </c>
      <c r="AE42">
        <v>168</v>
      </c>
      <c r="AF42">
        <v>1656</v>
      </c>
      <c r="AG42">
        <v>3</v>
      </c>
      <c r="AH42">
        <v>6</v>
      </c>
      <c r="AI42">
        <v>40</v>
      </c>
      <c r="AJ42" t="s">
        <v>20</v>
      </c>
      <c r="AK42" t="b">
        <v>1</v>
      </c>
      <c r="AL42">
        <v>0.5</v>
      </c>
      <c r="AM42" t="b">
        <v>1</v>
      </c>
      <c r="AN42">
        <v>9031.4460185480093</v>
      </c>
      <c r="AO42">
        <v>10465.1620410952</v>
      </c>
      <c r="AP42">
        <v>9031.4460199605292</v>
      </c>
      <c r="AQ42">
        <v>9031.4460185480093</v>
      </c>
      <c r="AR42">
        <v>0</v>
      </c>
      <c r="AS42">
        <v>140260</v>
      </c>
      <c r="AT42">
        <v>3600.21272611618</v>
      </c>
      <c r="AU42">
        <v>3600</v>
      </c>
    </row>
    <row r="43" spans="1:47" x14ac:dyDescent="0.35">
      <c r="A43">
        <f t="shared" si="0"/>
        <v>20.940831545813108</v>
      </c>
      <c r="B43">
        <f t="shared" si="1"/>
        <v>14.758726633443263</v>
      </c>
      <c r="C43">
        <f t="shared" si="2"/>
        <v>0</v>
      </c>
      <c r="D43">
        <f t="shared" si="3"/>
        <v>0</v>
      </c>
      <c r="E43">
        <f t="shared" si="4"/>
        <v>0</v>
      </c>
      <c r="G43" t="s">
        <v>42</v>
      </c>
      <c r="H43">
        <v>4</v>
      </c>
      <c r="I43">
        <v>168</v>
      </c>
      <c r="J43">
        <v>1656</v>
      </c>
      <c r="K43">
        <v>3</v>
      </c>
      <c r="L43">
        <v>6</v>
      </c>
      <c r="M43">
        <v>41</v>
      </c>
      <c r="N43" t="s">
        <v>20</v>
      </c>
      <c r="O43" t="b">
        <v>1</v>
      </c>
      <c r="P43">
        <v>0.5</v>
      </c>
      <c r="Q43" t="b">
        <v>0</v>
      </c>
      <c r="R43">
        <v>9173.4996243504702</v>
      </c>
      <c r="S43">
        <v>11094.5067275415</v>
      </c>
      <c r="T43">
        <v>9173.5620968662097</v>
      </c>
      <c r="U43">
        <v>9173.4996243504702</v>
      </c>
      <c r="V43">
        <v>0</v>
      </c>
      <c r="W43">
        <v>3354237</v>
      </c>
      <c r="X43">
        <v>3600.1334848403899</v>
      </c>
      <c r="Y43">
        <v>3600</v>
      </c>
      <c r="AC43" t="s">
        <v>42</v>
      </c>
      <c r="AD43">
        <v>4</v>
      </c>
      <c r="AE43">
        <v>168</v>
      </c>
      <c r="AF43">
        <v>1656</v>
      </c>
      <c r="AG43">
        <v>3</v>
      </c>
      <c r="AH43">
        <v>6</v>
      </c>
      <c r="AI43">
        <v>41</v>
      </c>
      <c r="AJ43" t="s">
        <v>20</v>
      </c>
      <c r="AK43" t="b">
        <v>1</v>
      </c>
      <c r="AL43">
        <v>0.5</v>
      </c>
      <c r="AM43" t="b">
        <v>1</v>
      </c>
      <c r="AN43">
        <v>9173.4996243504702</v>
      </c>
      <c r="AO43">
        <v>10527.391356628301</v>
      </c>
      <c r="AP43">
        <v>9173.5331082659995</v>
      </c>
      <c r="AQ43">
        <v>9173.4996243504702</v>
      </c>
      <c r="AR43">
        <v>0</v>
      </c>
      <c r="AS43">
        <v>70605</v>
      </c>
      <c r="AT43">
        <v>3600.0661759376499</v>
      </c>
      <c r="AU43">
        <v>3600</v>
      </c>
    </row>
    <row r="44" spans="1:47" x14ac:dyDescent="0.35">
      <c r="A44">
        <f t="shared" si="0"/>
        <v>18.711097131915633</v>
      </c>
      <c r="B44">
        <f t="shared" si="1"/>
        <v>15.892249393139238</v>
      </c>
      <c r="C44">
        <f t="shared" si="2"/>
        <v>7.3329896804232061E-2</v>
      </c>
      <c r="D44">
        <f t="shared" si="3"/>
        <v>0</v>
      </c>
      <c r="E44">
        <f t="shared" si="4"/>
        <v>0</v>
      </c>
      <c r="G44" t="s">
        <v>42</v>
      </c>
      <c r="H44">
        <v>4</v>
      </c>
      <c r="I44">
        <v>168</v>
      </c>
      <c r="J44">
        <v>1656</v>
      </c>
      <c r="K44">
        <v>3</v>
      </c>
      <c r="L44">
        <v>6</v>
      </c>
      <c r="M44">
        <v>42</v>
      </c>
      <c r="N44" t="s">
        <v>20</v>
      </c>
      <c r="O44" t="b">
        <v>1</v>
      </c>
      <c r="P44">
        <v>0.5</v>
      </c>
      <c r="Q44" t="b">
        <v>0</v>
      </c>
      <c r="R44">
        <v>9094.3704897654206</v>
      </c>
      <c r="S44">
        <v>10796.0269856417</v>
      </c>
      <c r="T44">
        <v>9101.0731174542798</v>
      </c>
      <c r="U44">
        <v>9101.0393822605602</v>
      </c>
      <c r="V44">
        <v>0</v>
      </c>
      <c r="W44">
        <v>3785300</v>
      </c>
      <c r="X44">
        <v>3600.1208148002602</v>
      </c>
      <c r="Y44">
        <v>3600</v>
      </c>
      <c r="AC44" t="s">
        <v>42</v>
      </c>
      <c r="AD44">
        <v>4</v>
      </c>
      <c r="AE44">
        <v>168</v>
      </c>
      <c r="AF44">
        <v>1656</v>
      </c>
      <c r="AG44">
        <v>3</v>
      </c>
      <c r="AH44">
        <v>6</v>
      </c>
      <c r="AI44">
        <v>42</v>
      </c>
      <c r="AJ44" t="s">
        <v>20</v>
      </c>
      <c r="AK44" t="b">
        <v>1</v>
      </c>
      <c r="AL44">
        <v>0.5</v>
      </c>
      <c r="AM44" t="b">
        <v>1</v>
      </c>
      <c r="AN44">
        <v>9094.3704897654206</v>
      </c>
      <c r="AO44">
        <v>10539.670528735</v>
      </c>
      <c r="AP44">
        <v>9101.0541952041203</v>
      </c>
      <c r="AQ44">
        <v>9101.0393822605602</v>
      </c>
      <c r="AR44">
        <v>0</v>
      </c>
      <c r="AS44">
        <v>141177</v>
      </c>
      <c r="AT44">
        <v>3600.4723720550501</v>
      </c>
      <c r="AU44">
        <v>3600</v>
      </c>
    </row>
    <row r="45" spans="1:47" x14ac:dyDescent="0.35">
      <c r="A45">
        <f t="shared" si="0"/>
        <v>19.563347815772016</v>
      </c>
      <c r="B45">
        <f t="shared" si="1"/>
        <v>14.447471113697411</v>
      </c>
      <c r="C45">
        <f t="shared" si="2"/>
        <v>0</v>
      </c>
      <c r="D45">
        <f t="shared" si="3"/>
        <v>0</v>
      </c>
      <c r="E45">
        <f t="shared" si="4"/>
        <v>0</v>
      </c>
      <c r="G45" t="s">
        <v>42</v>
      </c>
      <c r="H45">
        <v>4</v>
      </c>
      <c r="I45">
        <v>168</v>
      </c>
      <c r="J45">
        <v>1656</v>
      </c>
      <c r="K45">
        <v>3</v>
      </c>
      <c r="L45">
        <v>6</v>
      </c>
      <c r="M45">
        <v>43</v>
      </c>
      <c r="N45" t="s">
        <v>20</v>
      </c>
      <c r="O45" t="b">
        <v>1</v>
      </c>
      <c r="P45">
        <v>0.5</v>
      </c>
      <c r="Q45" t="b">
        <v>0</v>
      </c>
      <c r="R45">
        <v>9094.0968469809595</v>
      </c>
      <c r="S45">
        <v>10873.206643859001</v>
      </c>
      <c r="T45">
        <v>9094.1450716146592</v>
      </c>
      <c r="U45">
        <v>9094.0968469809595</v>
      </c>
      <c r="V45">
        <v>0</v>
      </c>
      <c r="W45">
        <v>3487038</v>
      </c>
      <c r="X45">
        <v>3600.1368801593699</v>
      </c>
      <c r="Y45">
        <v>3600</v>
      </c>
      <c r="AC45" t="s">
        <v>42</v>
      </c>
      <c r="AD45">
        <v>4</v>
      </c>
      <c r="AE45">
        <v>168</v>
      </c>
      <c r="AF45">
        <v>1656</v>
      </c>
      <c r="AG45">
        <v>3</v>
      </c>
      <c r="AH45">
        <v>6</v>
      </c>
      <c r="AI45">
        <v>43</v>
      </c>
      <c r="AJ45" t="s">
        <v>20</v>
      </c>
      <c r="AK45" t="b">
        <v>1</v>
      </c>
      <c r="AL45">
        <v>0.5</v>
      </c>
      <c r="AM45" t="b">
        <v>1</v>
      </c>
      <c r="AN45">
        <v>9094.0968469809595</v>
      </c>
      <c r="AO45">
        <v>10407.963862000201</v>
      </c>
      <c r="AP45">
        <v>9094.1346956323905</v>
      </c>
      <c r="AQ45">
        <v>9094.0968469809595</v>
      </c>
      <c r="AR45">
        <v>0</v>
      </c>
      <c r="AS45">
        <v>144938</v>
      </c>
      <c r="AT45">
        <v>3600.1512169837902</v>
      </c>
      <c r="AU45">
        <v>3600</v>
      </c>
    </row>
    <row r="46" spans="1:47" x14ac:dyDescent="0.35">
      <c r="A46">
        <f t="shared" si="0"/>
        <v>16.948780498728727</v>
      </c>
      <c r="B46">
        <f t="shared" si="1"/>
        <v>14.399724816408014</v>
      </c>
      <c r="C46">
        <f t="shared" si="2"/>
        <v>0</v>
      </c>
      <c r="D46">
        <f t="shared" si="3"/>
        <v>0</v>
      </c>
      <c r="E46">
        <f t="shared" si="4"/>
        <v>0</v>
      </c>
      <c r="G46" t="s">
        <v>42</v>
      </c>
      <c r="H46">
        <v>4</v>
      </c>
      <c r="I46">
        <v>168</v>
      </c>
      <c r="J46">
        <v>1656</v>
      </c>
      <c r="K46">
        <v>3</v>
      </c>
      <c r="L46">
        <v>6</v>
      </c>
      <c r="M46">
        <v>44</v>
      </c>
      <c r="N46" t="s">
        <v>20</v>
      </c>
      <c r="O46" t="b">
        <v>1</v>
      </c>
      <c r="P46">
        <v>0.5</v>
      </c>
      <c r="Q46" t="b">
        <v>0</v>
      </c>
      <c r="R46">
        <v>9231.0660764881195</v>
      </c>
      <c r="S46">
        <v>10795.619203484701</v>
      </c>
      <c r="T46">
        <v>9231.14315174478</v>
      </c>
      <c r="U46">
        <v>9231.0660764881195</v>
      </c>
      <c r="V46">
        <v>0</v>
      </c>
      <c r="W46">
        <v>2175116</v>
      </c>
      <c r="X46">
        <v>3600.1140868663701</v>
      </c>
      <c r="Y46">
        <v>3600</v>
      </c>
      <c r="AC46" t="s">
        <v>42</v>
      </c>
      <c r="AD46">
        <v>4</v>
      </c>
      <c r="AE46">
        <v>168</v>
      </c>
      <c r="AF46">
        <v>1656</v>
      </c>
      <c r="AG46">
        <v>3</v>
      </c>
      <c r="AH46">
        <v>6</v>
      </c>
      <c r="AI46">
        <v>44</v>
      </c>
      <c r="AJ46" t="s">
        <v>20</v>
      </c>
      <c r="AK46" t="b">
        <v>1</v>
      </c>
      <c r="AL46">
        <v>0.5</v>
      </c>
      <c r="AM46" t="b">
        <v>1</v>
      </c>
      <c r="AN46">
        <v>9231.0660764881195</v>
      </c>
      <c r="AO46">
        <v>10560.314189123201</v>
      </c>
      <c r="AP46">
        <v>9231.1286829849505</v>
      </c>
      <c r="AQ46">
        <v>9231.0660764881195</v>
      </c>
      <c r="AR46">
        <v>0</v>
      </c>
      <c r="AS46">
        <v>172811</v>
      </c>
      <c r="AT46">
        <v>3600.2272698879201</v>
      </c>
      <c r="AU46">
        <v>3600</v>
      </c>
    </row>
    <row r="47" spans="1:47" x14ac:dyDescent="0.35">
      <c r="A47">
        <f t="shared" si="0"/>
        <v>19.105355281719991</v>
      </c>
      <c r="B47">
        <f t="shared" si="1"/>
        <v>15.115116811532728</v>
      </c>
      <c r="C47">
        <f t="shared" si="2"/>
        <v>0</v>
      </c>
      <c r="D47">
        <f t="shared" si="3"/>
        <v>0</v>
      </c>
      <c r="E47">
        <f t="shared" si="4"/>
        <v>0</v>
      </c>
      <c r="G47" t="s">
        <v>42</v>
      </c>
      <c r="H47">
        <v>4</v>
      </c>
      <c r="I47">
        <v>168</v>
      </c>
      <c r="J47">
        <v>1656</v>
      </c>
      <c r="K47">
        <v>3</v>
      </c>
      <c r="L47">
        <v>6</v>
      </c>
      <c r="M47">
        <v>45</v>
      </c>
      <c r="N47" t="s">
        <v>20</v>
      </c>
      <c r="O47" t="b">
        <v>1</v>
      </c>
      <c r="P47">
        <v>0.5</v>
      </c>
      <c r="Q47" t="b">
        <v>0</v>
      </c>
      <c r="R47">
        <v>9253.0683094154392</v>
      </c>
      <c r="S47">
        <v>11020.899884389501</v>
      </c>
      <c r="T47">
        <v>9253.1102150137795</v>
      </c>
      <c r="U47">
        <v>9253.0683094154392</v>
      </c>
      <c r="V47">
        <v>0</v>
      </c>
      <c r="W47">
        <v>2762249</v>
      </c>
      <c r="X47">
        <v>3600.1901490688301</v>
      </c>
      <c r="Y47">
        <v>3600</v>
      </c>
      <c r="AC47" t="s">
        <v>42</v>
      </c>
      <c r="AD47">
        <v>4</v>
      </c>
      <c r="AE47">
        <v>168</v>
      </c>
      <c r="AF47">
        <v>1656</v>
      </c>
      <c r="AG47">
        <v>3</v>
      </c>
      <c r="AH47">
        <v>6</v>
      </c>
      <c r="AI47">
        <v>45</v>
      </c>
      <c r="AJ47" t="s">
        <v>20</v>
      </c>
      <c r="AK47" t="b">
        <v>1</v>
      </c>
      <c r="AL47">
        <v>0.5</v>
      </c>
      <c r="AM47" t="b">
        <v>1</v>
      </c>
      <c r="AN47">
        <v>9253.0683094154392</v>
      </c>
      <c r="AO47">
        <v>10651.6803930345</v>
      </c>
      <c r="AP47">
        <v>9253.0814221888795</v>
      </c>
      <c r="AQ47">
        <v>9253.0683094154392</v>
      </c>
      <c r="AR47">
        <v>0</v>
      </c>
      <c r="AS47">
        <v>161724</v>
      </c>
      <c r="AT47">
        <v>3600.0759570598598</v>
      </c>
      <c r="AU47">
        <v>3600</v>
      </c>
    </row>
    <row r="48" spans="1:47" x14ac:dyDescent="0.35">
      <c r="A48">
        <f t="shared" si="0"/>
        <v>22.089468365220437</v>
      </c>
      <c r="B48">
        <f t="shared" si="1"/>
        <v>15.088512985609533</v>
      </c>
      <c r="C48">
        <f t="shared" si="2"/>
        <v>0</v>
      </c>
      <c r="D48">
        <f t="shared" si="3"/>
        <v>0</v>
      </c>
      <c r="E48">
        <f t="shared" si="4"/>
        <v>0</v>
      </c>
      <c r="G48" t="s">
        <v>42</v>
      </c>
      <c r="H48">
        <v>4</v>
      </c>
      <c r="I48">
        <v>168</v>
      </c>
      <c r="J48">
        <v>1656</v>
      </c>
      <c r="K48">
        <v>3</v>
      </c>
      <c r="L48">
        <v>6</v>
      </c>
      <c r="M48">
        <v>46</v>
      </c>
      <c r="N48" t="s">
        <v>20</v>
      </c>
      <c r="O48" t="b">
        <v>1</v>
      </c>
      <c r="P48">
        <v>0.5</v>
      </c>
      <c r="Q48" t="b">
        <v>0</v>
      </c>
      <c r="R48">
        <v>9036.9919568343594</v>
      </c>
      <c r="S48">
        <v>11033.2154363068</v>
      </c>
      <c r="T48">
        <v>9037.01745695319</v>
      </c>
      <c r="U48">
        <v>9036.9919568343594</v>
      </c>
      <c r="V48">
        <v>0</v>
      </c>
      <c r="W48">
        <v>3318235</v>
      </c>
      <c r="X48">
        <v>3600.1696939468302</v>
      </c>
      <c r="Y48">
        <v>3600</v>
      </c>
      <c r="AC48" t="s">
        <v>42</v>
      </c>
      <c r="AD48">
        <v>4</v>
      </c>
      <c r="AE48">
        <v>168</v>
      </c>
      <c r="AF48">
        <v>1656</v>
      </c>
      <c r="AG48">
        <v>3</v>
      </c>
      <c r="AH48">
        <v>6</v>
      </c>
      <c r="AI48">
        <v>46</v>
      </c>
      <c r="AJ48" t="s">
        <v>20</v>
      </c>
      <c r="AK48" t="b">
        <v>1</v>
      </c>
      <c r="AL48">
        <v>0.5</v>
      </c>
      <c r="AM48" t="b">
        <v>1</v>
      </c>
      <c r="AN48">
        <v>9036.9919568343594</v>
      </c>
      <c r="AO48">
        <v>10400.539661749801</v>
      </c>
      <c r="AP48">
        <v>9036.9919694447199</v>
      </c>
      <c r="AQ48">
        <v>9036.9919568343594</v>
      </c>
      <c r="AR48">
        <v>0</v>
      </c>
      <c r="AS48">
        <v>146679</v>
      </c>
      <c r="AT48">
        <v>3600.3320760726901</v>
      </c>
      <c r="AU48">
        <v>3600</v>
      </c>
    </row>
    <row r="49" spans="1:47" x14ac:dyDescent="0.35">
      <c r="A49">
        <f t="shared" si="0"/>
        <v>19.891164758604354</v>
      </c>
      <c r="B49">
        <f t="shared" si="1"/>
        <v>15.121021446934904</v>
      </c>
      <c r="C49">
        <f t="shared" si="2"/>
        <v>0</v>
      </c>
      <c r="D49">
        <f t="shared" si="3"/>
        <v>0</v>
      </c>
      <c r="E49">
        <f t="shared" si="4"/>
        <v>0</v>
      </c>
      <c r="G49" t="s">
        <v>42</v>
      </c>
      <c r="H49">
        <v>4</v>
      </c>
      <c r="I49">
        <v>168</v>
      </c>
      <c r="J49">
        <v>1656</v>
      </c>
      <c r="K49">
        <v>3</v>
      </c>
      <c r="L49">
        <v>6</v>
      </c>
      <c r="M49">
        <v>47</v>
      </c>
      <c r="N49" t="s">
        <v>20</v>
      </c>
      <c r="O49" t="b">
        <v>1</v>
      </c>
      <c r="P49">
        <v>0.5</v>
      </c>
      <c r="Q49" t="b">
        <v>0</v>
      </c>
      <c r="R49">
        <v>9022.7841146573301</v>
      </c>
      <c r="S49">
        <v>10817.520968717001</v>
      </c>
      <c r="T49">
        <v>9022.7841146573301</v>
      </c>
      <c r="U49">
        <v>9022.7841146573301</v>
      </c>
      <c r="V49">
        <v>0</v>
      </c>
      <c r="W49">
        <v>3097267</v>
      </c>
      <c r="X49">
        <v>3600.0640659332198</v>
      </c>
      <c r="Y49">
        <v>3600</v>
      </c>
      <c r="AC49" t="s">
        <v>42</v>
      </c>
      <c r="AD49">
        <v>4</v>
      </c>
      <c r="AE49">
        <v>168</v>
      </c>
      <c r="AF49">
        <v>1656</v>
      </c>
      <c r="AG49">
        <v>3</v>
      </c>
      <c r="AH49">
        <v>6</v>
      </c>
      <c r="AI49">
        <v>47</v>
      </c>
      <c r="AJ49" t="s">
        <v>20</v>
      </c>
      <c r="AK49" t="b">
        <v>1</v>
      </c>
      <c r="AL49">
        <v>0.5</v>
      </c>
      <c r="AM49" t="b">
        <v>1</v>
      </c>
      <c r="AN49">
        <v>9022.7841146573301</v>
      </c>
      <c r="AO49">
        <v>10387.121235745301</v>
      </c>
      <c r="AP49">
        <v>9022.7841146573301</v>
      </c>
      <c r="AQ49">
        <v>9022.7841146573301</v>
      </c>
      <c r="AR49">
        <v>0</v>
      </c>
      <c r="AS49">
        <v>174087</v>
      </c>
      <c r="AT49">
        <v>3600.1961739063199</v>
      </c>
      <c r="AU49">
        <v>3600</v>
      </c>
    </row>
    <row r="50" spans="1:47" x14ac:dyDescent="0.35">
      <c r="A50">
        <f t="shared" si="0"/>
        <v>21.094584061944364</v>
      </c>
      <c r="B50">
        <f t="shared" si="1"/>
        <v>16.251913206709929</v>
      </c>
      <c r="C50">
        <f t="shared" si="2"/>
        <v>0.11473155700521306</v>
      </c>
      <c r="D50">
        <f t="shared" si="3"/>
        <v>0</v>
      </c>
      <c r="E50">
        <f t="shared" si="4"/>
        <v>0</v>
      </c>
      <c r="G50" t="s">
        <v>42</v>
      </c>
      <c r="H50">
        <v>4</v>
      </c>
      <c r="I50">
        <v>168</v>
      </c>
      <c r="J50">
        <v>1656</v>
      </c>
      <c r="K50">
        <v>3</v>
      </c>
      <c r="L50">
        <v>6</v>
      </c>
      <c r="M50">
        <v>48</v>
      </c>
      <c r="N50" t="s">
        <v>20</v>
      </c>
      <c r="O50" t="b">
        <v>1</v>
      </c>
      <c r="P50">
        <v>0.5</v>
      </c>
      <c r="Q50" t="b">
        <v>0</v>
      </c>
      <c r="R50">
        <v>8982.3981463374203</v>
      </c>
      <c r="S50">
        <v>10877.1976740951</v>
      </c>
      <c r="T50">
        <v>8992.7176402801106</v>
      </c>
      <c r="U50">
        <v>8992.7037915871206</v>
      </c>
      <c r="V50">
        <v>0</v>
      </c>
      <c r="W50">
        <v>3243431</v>
      </c>
      <c r="X50">
        <v>3600.0735898017801</v>
      </c>
      <c r="Y50">
        <v>3600</v>
      </c>
      <c r="AC50" t="s">
        <v>42</v>
      </c>
      <c r="AD50">
        <v>4</v>
      </c>
      <c r="AE50">
        <v>168</v>
      </c>
      <c r="AF50">
        <v>1656</v>
      </c>
      <c r="AG50">
        <v>3</v>
      </c>
      <c r="AH50">
        <v>6</v>
      </c>
      <c r="AI50">
        <v>48</v>
      </c>
      <c r="AJ50" t="s">
        <v>20</v>
      </c>
      <c r="AK50" t="b">
        <v>1</v>
      </c>
      <c r="AL50">
        <v>0.5</v>
      </c>
      <c r="AM50" t="b">
        <v>1</v>
      </c>
      <c r="AN50">
        <v>8982.3981463374203</v>
      </c>
      <c r="AO50">
        <v>10442.209696961299</v>
      </c>
      <c r="AP50">
        <v>8992.7180405257404</v>
      </c>
      <c r="AQ50">
        <v>8992.7037915871206</v>
      </c>
      <c r="AR50">
        <v>0</v>
      </c>
      <c r="AS50">
        <v>170306</v>
      </c>
      <c r="AT50">
        <v>3600.0751888751902</v>
      </c>
      <c r="AU50">
        <v>3600</v>
      </c>
    </row>
    <row r="51" spans="1:47" x14ac:dyDescent="0.35">
      <c r="A51">
        <f t="shared" si="0"/>
        <v>21.142334329904397</v>
      </c>
      <c r="B51">
        <f t="shared" si="1"/>
        <v>14.076004033771728</v>
      </c>
      <c r="C51">
        <f t="shared" si="2"/>
        <v>0</v>
      </c>
      <c r="D51">
        <f t="shared" si="3"/>
        <v>0</v>
      </c>
      <c r="E51">
        <f t="shared" si="4"/>
        <v>0</v>
      </c>
      <c r="G51" t="s">
        <v>42</v>
      </c>
      <c r="H51">
        <v>4</v>
      </c>
      <c r="I51">
        <v>168</v>
      </c>
      <c r="J51">
        <v>1656</v>
      </c>
      <c r="K51">
        <v>3</v>
      </c>
      <c r="L51">
        <v>6</v>
      </c>
      <c r="M51">
        <v>49</v>
      </c>
      <c r="N51" t="s">
        <v>20</v>
      </c>
      <c r="O51" t="b">
        <v>1</v>
      </c>
      <c r="P51">
        <v>0.5</v>
      </c>
      <c r="Q51" t="b">
        <v>0</v>
      </c>
      <c r="R51">
        <v>9065.1169270063601</v>
      </c>
      <c r="S51">
        <v>10981.6942551108</v>
      </c>
      <c r="T51">
        <v>9065.1352901631108</v>
      </c>
      <c r="U51">
        <v>9065.1169270063601</v>
      </c>
      <c r="V51">
        <v>0</v>
      </c>
      <c r="W51">
        <v>3332629</v>
      </c>
      <c r="X51">
        <v>3600.19667887687</v>
      </c>
      <c r="Y51">
        <v>3600</v>
      </c>
      <c r="AC51" t="s">
        <v>42</v>
      </c>
      <c r="AD51">
        <v>4</v>
      </c>
      <c r="AE51">
        <v>168</v>
      </c>
      <c r="AF51">
        <v>1656</v>
      </c>
      <c r="AG51">
        <v>3</v>
      </c>
      <c r="AH51">
        <v>6</v>
      </c>
      <c r="AI51">
        <v>49</v>
      </c>
      <c r="AJ51" t="s">
        <v>20</v>
      </c>
      <c r="AK51" t="b">
        <v>1</v>
      </c>
      <c r="AL51">
        <v>0.5</v>
      </c>
      <c r="AM51" t="b">
        <v>1</v>
      </c>
      <c r="AN51">
        <v>9065.1169270063601</v>
      </c>
      <c r="AO51">
        <v>10341.123151317899</v>
      </c>
      <c r="AP51">
        <v>9065.1169270063601</v>
      </c>
      <c r="AQ51">
        <v>9065.1169270063601</v>
      </c>
      <c r="AR51">
        <v>0</v>
      </c>
      <c r="AS51">
        <v>167334</v>
      </c>
      <c r="AT51">
        <v>3600.2215309142998</v>
      </c>
      <c r="AU51">
        <v>3600</v>
      </c>
    </row>
    <row r="53" spans="1:47" x14ac:dyDescent="0.35">
      <c r="A53" s="1">
        <f t="shared" ref="A53:D53" si="5">AVERAGE(A2:A51)</f>
        <v>19.488208680170548</v>
      </c>
      <c r="B53" s="1">
        <f t="shared" si="5"/>
        <v>14.971850011156722</v>
      </c>
      <c r="C53" s="1">
        <f t="shared" si="5"/>
        <v>1.9338243809162551E-2</v>
      </c>
      <c r="D53" s="1">
        <f t="shared" si="5"/>
        <v>0</v>
      </c>
      <c r="E53" s="1">
        <f>AVERAGE(E2:E51)</f>
        <v>0</v>
      </c>
      <c r="F53" t="s">
        <v>25</v>
      </c>
    </row>
    <row r="54" spans="1:47" x14ac:dyDescent="0.35">
      <c r="A54" s="1">
        <f t="shared" ref="A54:D54" si="6">_xlfn.STDEV.S(A2:A51)/SQRT(COUNT(A2:A51))</f>
        <v>0.20385888527651139</v>
      </c>
      <c r="B54" s="1">
        <f t="shared" si="6"/>
        <v>0.12564039555169598</v>
      </c>
      <c r="C54" s="1">
        <f t="shared" si="6"/>
        <v>5.3715195024347673E-3</v>
      </c>
      <c r="D54" s="1">
        <f t="shared" si="6"/>
        <v>0</v>
      </c>
      <c r="E54" s="1">
        <f>_xlfn.STDEV.S(E2:E51)/SQRT(COUNT(E2:E51))</f>
        <v>0</v>
      </c>
      <c r="F54" t="s">
        <v>26</v>
      </c>
    </row>
    <row r="55" spans="1:47" x14ac:dyDescent="0.35">
      <c r="A55" s="1">
        <f t="shared" ref="A55:D55" si="7">MAX(A2:A51)</f>
        <v>22.35771031323215</v>
      </c>
      <c r="B55" s="1">
        <f t="shared" si="7"/>
        <v>17.420539308679512</v>
      </c>
      <c r="C55" s="1">
        <f t="shared" si="7"/>
        <v>0.12540058455377706</v>
      </c>
      <c r="D55" s="1">
        <f t="shared" si="7"/>
        <v>0</v>
      </c>
      <c r="E55" s="1">
        <f>MAX(E2:E51)</f>
        <v>0</v>
      </c>
      <c r="F55" t="s">
        <v>27</v>
      </c>
    </row>
    <row r="56" spans="1:47" x14ac:dyDescent="0.35">
      <c r="A56" s="1">
        <f t="shared" ref="A56:D56" si="8">MIN(A2:A51)</f>
        <v>16.573951169951851</v>
      </c>
      <c r="B56" s="1">
        <f t="shared" si="8"/>
        <v>12.596653493759662</v>
      </c>
      <c r="C56" s="1">
        <f t="shared" si="8"/>
        <v>0</v>
      </c>
      <c r="D56" s="1">
        <f t="shared" si="8"/>
        <v>0</v>
      </c>
      <c r="E56" s="1">
        <f>MIN(E2:E51)</f>
        <v>0</v>
      </c>
      <c r="F56" t="s">
        <v>28</v>
      </c>
    </row>
    <row r="57" spans="1:47" x14ac:dyDescent="0.35">
      <c r="A57" s="1">
        <f t="shared" ref="A57:D57" si="9">SUM(A2:A51)</f>
        <v>974.41043400852743</v>
      </c>
      <c r="B57" s="1">
        <f t="shared" si="9"/>
        <v>748.59250055783605</v>
      </c>
      <c r="C57" s="1">
        <f t="shared" si="9"/>
        <v>0.96691219045812749</v>
      </c>
      <c r="D57" s="1">
        <f t="shared" si="9"/>
        <v>0</v>
      </c>
      <c r="E57" s="1">
        <f>SUM(E2:E51)</f>
        <v>0</v>
      </c>
      <c r="F5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15C1-60D9-49D2-8BF9-533E67F9B2F8}">
  <dimension ref="A1:AU57"/>
  <sheetViews>
    <sheetView workbookViewId="0">
      <pane ySplit="1" topLeftCell="A44" activePane="bottomLeft" state="frozen"/>
      <selection pane="bottomLeft" activeCell="E57" sqref="A53:E57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25.659414154776773</v>
      </c>
      <c r="B2">
        <f>(AO2-AN2)/AN2*100</f>
        <v>15.856287496379021</v>
      </c>
      <c r="C2">
        <f>(AQ2-AN2)/AN2*100</f>
        <v>1.2523295989931026E-2</v>
      </c>
      <c r="D2">
        <f>IF(X2&lt;Y2,1,0)</f>
        <v>0</v>
      </c>
      <c r="E2">
        <f>IF(AT2&lt;AU2,1,0)</f>
        <v>0</v>
      </c>
      <c r="G2" t="s">
        <v>40</v>
      </c>
      <c r="H2">
        <v>2</v>
      </c>
      <c r="I2">
        <v>224</v>
      </c>
      <c r="J2">
        <v>3192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12248.2600174417</v>
      </c>
      <c r="S2">
        <v>15391.091782071</v>
      </c>
      <c r="T2">
        <v>12249.946633269499</v>
      </c>
      <c r="U2">
        <v>12249.793903297301</v>
      </c>
      <c r="V2">
        <v>0</v>
      </c>
      <c r="W2">
        <v>149295</v>
      </c>
      <c r="X2">
        <v>3600.1373910903899</v>
      </c>
      <c r="Y2">
        <v>3600</v>
      </c>
      <c r="AC2" t="s">
        <v>40</v>
      </c>
      <c r="AD2">
        <v>2</v>
      </c>
      <c r="AE2">
        <v>224</v>
      </c>
      <c r="AF2">
        <v>3192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12248.2600174417</v>
      </c>
      <c r="AO2">
        <v>14190.379339111299</v>
      </c>
      <c r="AP2">
        <v>12249.862945516301</v>
      </c>
      <c r="AQ2">
        <v>12249.793903297301</v>
      </c>
      <c r="AR2">
        <v>0</v>
      </c>
      <c r="AS2">
        <v>10311</v>
      </c>
      <c r="AT2">
        <v>3600.07814788818</v>
      </c>
      <c r="AU2">
        <v>3600</v>
      </c>
    </row>
    <row r="3" spans="1:47" x14ac:dyDescent="0.35">
      <c r="A3">
        <f t="shared" ref="A3:A11" si="0">(-R3+S3)/R3*100</f>
        <v>26.709273021530993</v>
      </c>
      <c r="B3">
        <f t="shared" ref="B3:B11" si="1">(AO3-AN3)/AN3*100</f>
        <v>17.367232406168537</v>
      </c>
      <c r="C3">
        <f t="shared" ref="C3:C11" si="2">(AQ3-AN3)/AN3*100</f>
        <v>2.0179627222125417E-2</v>
      </c>
      <c r="D3">
        <f t="shared" ref="D3:D11" si="3">IF(X3&lt;Y3,1,0)</f>
        <v>0</v>
      </c>
      <c r="E3">
        <f t="shared" ref="E3:E11" si="4">IF(AT3&lt;AU3,1,0)</f>
        <v>0</v>
      </c>
      <c r="G3" t="s">
        <v>40</v>
      </c>
      <c r="H3">
        <v>2</v>
      </c>
      <c r="I3">
        <v>224</v>
      </c>
      <c r="J3">
        <v>3192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12251.4917995579</v>
      </c>
      <c r="S3">
        <v>15523.7761935123</v>
      </c>
      <c r="T3">
        <v>12254.000388820001</v>
      </c>
      <c r="U3">
        <v>12253.9641049322</v>
      </c>
      <c r="V3">
        <v>0</v>
      </c>
      <c r="W3">
        <v>40459</v>
      </c>
      <c r="X3">
        <v>3600.2638001441901</v>
      </c>
      <c r="Y3">
        <v>3600</v>
      </c>
      <c r="AC3" t="s">
        <v>40</v>
      </c>
      <c r="AD3">
        <v>2</v>
      </c>
      <c r="AE3">
        <v>224</v>
      </c>
      <c r="AF3">
        <v>3192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12251.4917995579</v>
      </c>
      <c r="AO3">
        <v>14379.2368536098</v>
      </c>
      <c r="AP3">
        <v>12253.998607322301</v>
      </c>
      <c r="AQ3">
        <v>12253.9641049322</v>
      </c>
      <c r="AR3">
        <v>0</v>
      </c>
      <c r="AS3">
        <v>14307</v>
      </c>
      <c r="AT3">
        <v>3600.3134889602602</v>
      </c>
      <c r="AU3">
        <v>3600</v>
      </c>
    </row>
    <row r="4" spans="1:47" x14ac:dyDescent="0.35">
      <c r="A4">
        <f t="shared" si="0"/>
        <v>28.614974680763204</v>
      </c>
      <c r="B4">
        <f t="shared" si="1"/>
        <v>17.16444771719403</v>
      </c>
      <c r="C4">
        <f t="shared" si="2"/>
        <v>3.9084750859916667E-3</v>
      </c>
      <c r="D4">
        <f t="shared" si="3"/>
        <v>0</v>
      </c>
      <c r="E4">
        <f t="shared" si="4"/>
        <v>0</v>
      </c>
      <c r="G4" t="s">
        <v>40</v>
      </c>
      <c r="H4">
        <v>2</v>
      </c>
      <c r="I4">
        <v>224</v>
      </c>
      <c r="J4">
        <v>3192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11959.638708590401</v>
      </c>
      <c r="S4">
        <v>15381.8862969643</v>
      </c>
      <c r="T4">
        <v>11960.1077763707</v>
      </c>
      <c r="U4">
        <v>11960.106148089701</v>
      </c>
      <c r="V4">
        <v>0</v>
      </c>
      <c r="W4">
        <v>487373</v>
      </c>
      <c r="X4">
        <v>3600.2726829051899</v>
      </c>
      <c r="Y4">
        <v>3600</v>
      </c>
      <c r="AC4" t="s">
        <v>40</v>
      </c>
      <c r="AD4">
        <v>2</v>
      </c>
      <c r="AE4">
        <v>224</v>
      </c>
      <c r="AF4">
        <v>3192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11959.638708590401</v>
      </c>
      <c r="AO4">
        <v>14012.4446418917</v>
      </c>
      <c r="AP4">
        <v>11960.106148089701</v>
      </c>
      <c r="AQ4">
        <v>11960.106148089701</v>
      </c>
      <c r="AR4">
        <v>0</v>
      </c>
      <c r="AS4">
        <v>17128</v>
      </c>
      <c r="AT4">
        <v>3600.2579598426801</v>
      </c>
      <c r="AU4">
        <v>3600</v>
      </c>
    </row>
    <row r="5" spans="1:47" x14ac:dyDescent="0.35">
      <c r="A5">
        <f t="shared" si="0"/>
        <v>29.011647965339527</v>
      </c>
      <c r="B5">
        <f t="shared" si="1"/>
        <v>18.002620906390995</v>
      </c>
      <c r="C5">
        <f t="shared" si="2"/>
        <v>0.19749225314299193</v>
      </c>
      <c r="D5">
        <f t="shared" si="3"/>
        <v>0</v>
      </c>
      <c r="E5">
        <f t="shared" si="4"/>
        <v>0</v>
      </c>
      <c r="G5" t="s">
        <v>40</v>
      </c>
      <c r="H5">
        <v>2</v>
      </c>
      <c r="I5">
        <v>224</v>
      </c>
      <c r="J5">
        <v>3192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11965.853386254799</v>
      </c>
      <c r="S5">
        <v>15437.344646723701</v>
      </c>
      <c r="T5">
        <v>11989.325611697201</v>
      </c>
      <c r="U5">
        <v>11989.298937052999</v>
      </c>
      <c r="V5">
        <v>0</v>
      </c>
      <c r="W5">
        <v>119532</v>
      </c>
      <c r="X5">
        <v>3600.0973601341202</v>
      </c>
      <c r="Y5">
        <v>3600</v>
      </c>
      <c r="AC5" t="s">
        <v>40</v>
      </c>
      <c r="AD5">
        <v>2</v>
      </c>
      <c r="AE5">
        <v>224</v>
      </c>
      <c r="AF5">
        <v>3192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11965.853386254799</v>
      </c>
      <c r="AO5">
        <v>14120.020609596801</v>
      </c>
      <c r="AP5">
        <v>11989.4869251772</v>
      </c>
      <c r="AQ5">
        <v>11989.485019715101</v>
      </c>
      <c r="AR5">
        <v>0</v>
      </c>
      <c r="AS5">
        <v>11307</v>
      </c>
      <c r="AT5">
        <v>3600.0995008945401</v>
      </c>
      <c r="AU5">
        <v>3600</v>
      </c>
    </row>
    <row r="6" spans="1:47" x14ac:dyDescent="0.35">
      <c r="A6">
        <f t="shared" si="0"/>
        <v>28.315497073232905</v>
      </c>
      <c r="B6">
        <f t="shared" si="1"/>
        <v>17.246055250239962</v>
      </c>
      <c r="C6">
        <f t="shared" si="2"/>
        <v>2.1034119070234402E-2</v>
      </c>
      <c r="D6">
        <f t="shared" si="3"/>
        <v>0</v>
      </c>
      <c r="E6">
        <f t="shared" si="4"/>
        <v>0</v>
      </c>
      <c r="G6" t="s">
        <v>40</v>
      </c>
      <c r="H6">
        <v>2</v>
      </c>
      <c r="I6">
        <v>224</v>
      </c>
      <c r="J6">
        <v>3192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12006.9157846203</v>
      </c>
      <c r="S6">
        <v>15406.7336722</v>
      </c>
      <c r="T6">
        <v>12016.0388310299</v>
      </c>
      <c r="U6">
        <v>12016.0068822545</v>
      </c>
      <c r="V6">
        <v>0</v>
      </c>
      <c r="W6">
        <v>137412</v>
      </c>
      <c r="X6">
        <v>3600.1488099098201</v>
      </c>
      <c r="Y6">
        <v>3600</v>
      </c>
      <c r="AC6" t="s">
        <v>40</v>
      </c>
      <c r="AD6">
        <v>2</v>
      </c>
      <c r="AE6">
        <v>224</v>
      </c>
      <c r="AF6">
        <v>3192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12006.9157846203</v>
      </c>
      <c r="AO6">
        <v>14077.6351146857</v>
      </c>
      <c r="AP6">
        <v>12009.513282358301</v>
      </c>
      <c r="AQ6">
        <v>12009.4413335831</v>
      </c>
      <c r="AR6">
        <v>0</v>
      </c>
      <c r="AS6">
        <v>14146</v>
      </c>
      <c r="AT6">
        <v>3600.16296100616</v>
      </c>
      <c r="AU6">
        <v>3600</v>
      </c>
    </row>
    <row r="7" spans="1:47" x14ac:dyDescent="0.35">
      <c r="A7">
        <f t="shared" si="0"/>
        <v>26.758458276062335</v>
      </c>
      <c r="B7">
        <f t="shared" si="1"/>
        <v>15.920460749323</v>
      </c>
      <c r="C7">
        <f t="shared" si="2"/>
        <v>3.5396709106062199E-2</v>
      </c>
      <c r="D7">
        <f t="shared" si="3"/>
        <v>0</v>
      </c>
      <c r="E7">
        <f t="shared" si="4"/>
        <v>0</v>
      </c>
      <c r="G7" t="s">
        <v>40</v>
      </c>
      <c r="H7">
        <v>2</v>
      </c>
      <c r="I7">
        <v>224</v>
      </c>
      <c r="J7">
        <v>3192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12180.611998931399</v>
      </c>
      <c r="S7">
        <v>15439.9559784345</v>
      </c>
      <c r="T7">
        <v>12180.6464441561</v>
      </c>
      <c r="U7">
        <v>12180.611998931399</v>
      </c>
      <c r="V7">
        <v>0</v>
      </c>
      <c r="W7">
        <v>26323</v>
      </c>
      <c r="X7">
        <v>3600.2311909198702</v>
      </c>
      <c r="Y7">
        <v>3600</v>
      </c>
      <c r="AC7" t="s">
        <v>40</v>
      </c>
      <c r="AD7">
        <v>2</v>
      </c>
      <c r="AE7">
        <v>224</v>
      </c>
      <c r="AF7">
        <v>3192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12180.611998931399</v>
      </c>
      <c r="AO7">
        <v>14119.8215512486</v>
      </c>
      <c r="AP7">
        <v>12184.9437731254</v>
      </c>
      <c r="AQ7">
        <v>12184.923534727999</v>
      </c>
      <c r="AR7">
        <v>0</v>
      </c>
      <c r="AS7">
        <v>6260</v>
      </c>
      <c r="AT7">
        <v>3600.1041719913401</v>
      </c>
      <c r="AU7">
        <v>3600</v>
      </c>
    </row>
    <row r="8" spans="1:47" x14ac:dyDescent="0.35">
      <c r="A8">
        <f t="shared" si="0"/>
        <v>24.692960988825739</v>
      </c>
      <c r="B8">
        <f t="shared" si="1"/>
        <v>16.136372329269399</v>
      </c>
      <c r="C8">
        <f t="shared" si="2"/>
        <v>6.258130200187631E-2</v>
      </c>
      <c r="D8">
        <f t="shared" si="3"/>
        <v>0</v>
      </c>
      <c r="E8">
        <f t="shared" si="4"/>
        <v>0</v>
      </c>
      <c r="G8" t="s">
        <v>40</v>
      </c>
      <c r="H8">
        <v>2</v>
      </c>
      <c r="I8">
        <v>224</v>
      </c>
      <c r="J8">
        <v>3192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12165.127305550201</v>
      </c>
      <c r="S8">
        <v>15169.0574453507</v>
      </c>
      <c r="T8">
        <v>12165.127305550201</v>
      </c>
      <c r="U8">
        <v>12165.127305550201</v>
      </c>
      <c r="V8">
        <v>0</v>
      </c>
      <c r="W8">
        <v>336092</v>
      </c>
      <c r="X8">
        <v>3600.2764401435802</v>
      </c>
      <c r="Y8">
        <v>3600</v>
      </c>
      <c r="AC8" t="s">
        <v>40</v>
      </c>
      <c r="AD8">
        <v>2</v>
      </c>
      <c r="AE8">
        <v>224</v>
      </c>
      <c r="AF8">
        <v>3192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12165.127305550201</v>
      </c>
      <c r="AO8">
        <v>14128.137541903399</v>
      </c>
      <c r="AP8">
        <v>12172.7404006083</v>
      </c>
      <c r="AQ8">
        <v>12172.7404006082</v>
      </c>
      <c r="AR8">
        <v>0</v>
      </c>
      <c r="AS8">
        <v>20643</v>
      </c>
      <c r="AT8">
        <v>3600.17763018608</v>
      </c>
      <c r="AU8">
        <v>3600</v>
      </c>
    </row>
    <row r="9" spans="1:47" x14ac:dyDescent="0.35">
      <c r="A9">
        <f t="shared" si="0"/>
        <v>25.381129009071906</v>
      </c>
      <c r="B9">
        <f t="shared" si="1"/>
        <v>16.953229053387179</v>
      </c>
      <c r="C9">
        <f t="shared" si="2"/>
        <v>5.9004640043864701E-2</v>
      </c>
      <c r="D9">
        <f t="shared" si="3"/>
        <v>0</v>
      </c>
      <c r="E9">
        <f t="shared" si="4"/>
        <v>0</v>
      </c>
      <c r="G9" t="s">
        <v>40</v>
      </c>
      <c r="H9">
        <v>2</v>
      </c>
      <c r="I9">
        <v>224</v>
      </c>
      <c r="J9">
        <v>3192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12005.9873349516</v>
      </c>
      <c r="S9">
        <v>15053.2424692485</v>
      </c>
      <c r="T9">
        <v>12013.0714245623</v>
      </c>
      <c r="U9">
        <v>12013.0714245623</v>
      </c>
      <c r="V9">
        <v>0</v>
      </c>
      <c r="W9">
        <v>455346</v>
      </c>
      <c r="X9">
        <v>3600.1094648837998</v>
      </c>
      <c r="Y9">
        <v>3600</v>
      </c>
      <c r="AC9" t="s">
        <v>40</v>
      </c>
      <c r="AD9">
        <v>2</v>
      </c>
      <c r="AE9">
        <v>224</v>
      </c>
      <c r="AF9">
        <v>3192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12005.9873349516</v>
      </c>
      <c r="AO9">
        <v>14041.3898679666</v>
      </c>
      <c r="AP9">
        <v>12013.0714534167</v>
      </c>
      <c r="AQ9">
        <v>12013.0714245623</v>
      </c>
      <c r="AR9">
        <v>0</v>
      </c>
      <c r="AS9">
        <v>7766</v>
      </c>
      <c r="AT9">
        <v>3600.2775249481201</v>
      </c>
      <c r="AU9">
        <v>3600</v>
      </c>
    </row>
    <row r="10" spans="1:47" x14ac:dyDescent="0.35">
      <c r="A10">
        <f t="shared" si="0"/>
        <v>21.661825472873968</v>
      </c>
      <c r="B10">
        <f t="shared" si="1"/>
        <v>16.643565504405814</v>
      </c>
      <c r="C10">
        <f t="shared" si="2"/>
        <v>6.7213166276968786E-2</v>
      </c>
      <c r="D10">
        <f t="shared" si="3"/>
        <v>0</v>
      </c>
      <c r="E10">
        <f t="shared" si="4"/>
        <v>0</v>
      </c>
      <c r="G10" t="s">
        <v>40</v>
      </c>
      <c r="H10">
        <v>2</v>
      </c>
      <c r="I10">
        <v>224</v>
      </c>
      <c r="J10">
        <v>3192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12030.4519129165</v>
      </c>
      <c r="S10">
        <v>14636.4674098905</v>
      </c>
      <c r="T10">
        <v>12038.537960564699</v>
      </c>
      <c r="U10">
        <v>12038.537960564599</v>
      </c>
      <c r="V10">
        <v>0</v>
      </c>
      <c r="W10">
        <v>428730</v>
      </c>
      <c r="X10">
        <v>3600.1527590751598</v>
      </c>
      <c r="Y10">
        <v>3600</v>
      </c>
      <c r="AC10" t="s">
        <v>40</v>
      </c>
      <c r="AD10">
        <v>2</v>
      </c>
      <c r="AE10">
        <v>224</v>
      </c>
      <c r="AF10">
        <v>3192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12030.4519129165</v>
      </c>
      <c r="AO10">
        <v>14032.7480575188</v>
      </c>
      <c r="AP10">
        <v>12038.537960564599</v>
      </c>
      <c r="AQ10">
        <v>12038.537960564599</v>
      </c>
      <c r="AR10">
        <v>0</v>
      </c>
      <c r="AS10">
        <v>20613</v>
      </c>
      <c r="AT10">
        <v>3600.1211650371501</v>
      </c>
      <c r="AU10">
        <v>3600</v>
      </c>
    </row>
    <row r="11" spans="1:47" x14ac:dyDescent="0.35">
      <c r="A11">
        <f t="shared" si="0"/>
        <v>28.665066162576284</v>
      </c>
      <c r="B11">
        <f t="shared" si="1"/>
        <v>16.153242474374782</v>
      </c>
      <c r="C11">
        <f t="shared" si="2"/>
        <v>4.3863947794579278E-2</v>
      </c>
      <c r="D11">
        <f t="shared" si="3"/>
        <v>0</v>
      </c>
      <c r="E11">
        <f t="shared" si="4"/>
        <v>0</v>
      </c>
      <c r="G11" t="s">
        <v>40</v>
      </c>
      <c r="H11">
        <v>2</v>
      </c>
      <c r="I11">
        <v>224</v>
      </c>
      <c r="J11">
        <v>3192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11968.020299233</v>
      </c>
      <c r="S11">
        <v>15398.661236358699</v>
      </c>
      <c r="T11">
        <v>11973.271327832599</v>
      </c>
      <c r="U11">
        <v>11973.2699454091</v>
      </c>
      <c r="V11">
        <v>0</v>
      </c>
      <c r="W11">
        <v>73130</v>
      </c>
      <c r="X11">
        <v>3600.0960688590999</v>
      </c>
      <c r="Y11">
        <v>3600</v>
      </c>
      <c r="AC11" t="s">
        <v>40</v>
      </c>
      <c r="AD11">
        <v>2</v>
      </c>
      <c r="AE11">
        <v>224</v>
      </c>
      <c r="AF11">
        <v>3192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11968.020299233</v>
      </c>
      <c r="AO11">
        <v>13901.2436375505</v>
      </c>
      <c r="AP11">
        <v>11973.2699454091</v>
      </c>
      <c r="AQ11">
        <v>11973.2699454091</v>
      </c>
      <c r="AR11">
        <v>0</v>
      </c>
      <c r="AS11">
        <v>41931</v>
      </c>
      <c r="AT11">
        <v>3600.1836659908199</v>
      </c>
      <c r="AU11">
        <v>3600</v>
      </c>
    </row>
    <row r="12" spans="1:47" x14ac:dyDescent="0.35">
      <c r="A12">
        <f t="shared" ref="A12:A51" si="5">(-R12+S12)/R12*100</f>
        <v>27.241959918220566</v>
      </c>
      <c r="B12">
        <f t="shared" ref="B12:B51" si="6">(AO12-AN12)/AN12*100</f>
        <v>16.2780035943799</v>
      </c>
      <c r="C12">
        <f t="shared" ref="C12:C51" si="7">(AQ12-AN12)/AN12*100</f>
        <v>0</v>
      </c>
      <c r="D12">
        <f t="shared" ref="D12:D51" si="8">IF(X12&lt;Y12,1,0)</f>
        <v>0</v>
      </c>
      <c r="E12">
        <f t="shared" ref="E12:E51" si="9">IF(AT12&lt;AU12,1,0)</f>
        <v>0</v>
      </c>
      <c r="G12" t="s">
        <v>40</v>
      </c>
      <c r="H12">
        <v>2</v>
      </c>
      <c r="I12">
        <v>224</v>
      </c>
      <c r="J12">
        <v>3192</v>
      </c>
      <c r="K12">
        <v>3</v>
      </c>
      <c r="L12">
        <v>6</v>
      </c>
      <c r="M12">
        <v>10</v>
      </c>
      <c r="N12" t="s">
        <v>20</v>
      </c>
      <c r="O12" t="b">
        <v>1</v>
      </c>
      <c r="P12">
        <v>0.5</v>
      </c>
      <c r="Q12" t="b">
        <v>0</v>
      </c>
      <c r="R12">
        <v>12168.0762023591</v>
      </c>
      <c r="S12">
        <v>15482.8986442243</v>
      </c>
      <c r="T12">
        <v>12168.172978803799</v>
      </c>
      <c r="U12">
        <v>12168.0762023591</v>
      </c>
      <c r="V12">
        <v>0</v>
      </c>
      <c r="W12">
        <v>342049</v>
      </c>
      <c r="X12">
        <v>3600.1051440238898</v>
      </c>
      <c r="Y12">
        <v>3600</v>
      </c>
      <c r="AC12" t="s">
        <v>40</v>
      </c>
      <c r="AD12">
        <v>2</v>
      </c>
      <c r="AE12">
        <v>224</v>
      </c>
      <c r="AF12">
        <v>3192</v>
      </c>
      <c r="AG12">
        <v>3</v>
      </c>
      <c r="AH12">
        <v>6</v>
      </c>
      <c r="AI12">
        <v>10</v>
      </c>
      <c r="AJ12" t="s">
        <v>20</v>
      </c>
      <c r="AK12" t="b">
        <v>1</v>
      </c>
      <c r="AL12">
        <v>0.5</v>
      </c>
      <c r="AM12" t="b">
        <v>1</v>
      </c>
      <c r="AN12">
        <v>12168.0762023591</v>
      </c>
      <c r="AO12">
        <v>14148.796083945999</v>
      </c>
      <c r="AP12">
        <v>12168.1437175069</v>
      </c>
      <c r="AQ12">
        <v>12168.0762023591</v>
      </c>
      <c r="AR12">
        <v>0</v>
      </c>
      <c r="AS12">
        <v>8886</v>
      </c>
      <c r="AT12">
        <v>3600.2903659343701</v>
      </c>
      <c r="AU12">
        <v>3600</v>
      </c>
    </row>
    <row r="13" spans="1:47" x14ac:dyDescent="0.35">
      <c r="A13">
        <f t="shared" si="5"/>
        <v>26.868955858930914</v>
      </c>
      <c r="B13">
        <f t="shared" si="6"/>
        <v>16.622879514025783</v>
      </c>
      <c r="C13">
        <f t="shared" si="7"/>
        <v>0.18544581221139667</v>
      </c>
      <c r="D13">
        <f t="shared" si="8"/>
        <v>0</v>
      </c>
      <c r="E13">
        <f t="shared" si="9"/>
        <v>0</v>
      </c>
      <c r="G13" t="s">
        <v>40</v>
      </c>
      <c r="H13">
        <v>2</v>
      </c>
      <c r="I13">
        <v>224</v>
      </c>
      <c r="J13">
        <v>3192</v>
      </c>
      <c r="K13">
        <v>3</v>
      </c>
      <c r="L13">
        <v>6</v>
      </c>
      <c r="M13">
        <v>11</v>
      </c>
      <c r="N13" t="s">
        <v>20</v>
      </c>
      <c r="O13" t="b">
        <v>1</v>
      </c>
      <c r="P13">
        <v>0.5</v>
      </c>
      <c r="Q13" t="b">
        <v>0</v>
      </c>
      <c r="R13">
        <v>12023.309970991701</v>
      </c>
      <c r="S13">
        <v>15253.8478198799</v>
      </c>
      <c r="T13">
        <v>12045.6621600328</v>
      </c>
      <c r="U13">
        <v>12045.6066958221</v>
      </c>
      <c r="V13">
        <v>0</v>
      </c>
      <c r="W13">
        <v>261368</v>
      </c>
      <c r="X13">
        <v>3600.0864741802202</v>
      </c>
      <c r="Y13">
        <v>3600</v>
      </c>
      <c r="AC13" t="s">
        <v>40</v>
      </c>
      <c r="AD13">
        <v>2</v>
      </c>
      <c r="AE13">
        <v>224</v>
      </c>
      <c r="AF13">
        <v>3192</v>
      </c>
      <c r="AG13">
        <v>3</v>
      </c>
      <c r="AH13">
        <v>6</v>
      </c>
      <c r="AI13">
        <v>11</v>
      </c>
      <c r="AJ13" t="s">
        <v>20</v>
      </c>
      <c r="AK13" t="b">
        <v>1</v>
      </c>
      <c r="AL13">
        <v>0.5</v>
      </c>
      <c r="AM13" t="b">
        <v>1</v>
      </c>
      <c r="AN13">
        <v>12023.309970991701</v>
      </c>
      <c r="AO13">
        <v>14021.930301067499</v>
      </c>
      <c r="AP13">
        <v>12045.641585486999</v>
      </c>
      <c r="AQ13">
        <v>12045.6066958221</v>
      </c>
      <c r="AR13">
        <v>0</v>
      </c>
      <c r="AS13">
        <v>14149</v>
      </c>
      <c r="AT13">
        <v>3600.20717310905</v>
      </c>
      <c r="AU13">
        <v>3600</v>
      </c>
    </row>
    <row r="14" spans="1:47" x14ac:dyDescent="0.35">
      <c r="A14">
        <f t="shared" si="5"/>
        <v>27.096494362954626</v>
      </c>
      <c r="B14">
        <f t="shared" si="6"/>
        <v>16.690517379072535</v>
      </c>
      <c r="C14">
        <f t="shared" si="7"/>
        <v>0</v>
      </c>
      <c r="D14">
        <f t="shared" si="8"/>
        <v>0</v>
      </c>
      <c r="E14">
        <f t="shared" si="9"/>
        <v>0</v>
      </c>
      <c r="G14" t="s">
        <v>40</v>
      </c>
      <c r="H14">
        <v>2</v>
      </c>
      <c r="I14">
        <v>224</v>
      </c>
      <c r="J14">
        <v>3192</v>
      </c>
      <c r="K14">
        <v>3</v>
      </c>
      <c r="L14">
        <v>6</v>
      </c>
      <c r="M14">
        <v>12</v>
      </c>
      <c r="N14" t="s">
        <v>20</v>
      </c>
      <c r="O14" t="b">
        <v>1</v>
      </c>
      <c r="P14">
        <v>0.5</v>
      </c>
      <c r="Q14" t="b">
        <v>0</v>
      </c>
      <c r="R14">
        <v>12123.1884477037</v>
      </c>
      <c r="S14">
        <v>15408.1475220461</v>
      </c>
      <c r="T14">
        <v>12123.2470208513</v>
      </c>
      <c r="U14">
        <v>12123.1884477037</v>
      </c>
      <c r="V14">
        <v>0</v>
      </c>
      <c r="W14">
        <v>94243</v>
      </c>
      <c r="X14">
        <v>3600.1553950309699</v>
      </c>
      <c r="Y14">
        <v>3600</v>
      </c>
      <c r="AC14" t="s">
        <v>40</v>
      </c>
      <c r="AD14">
        <v>2</v>
      </c>
      <c r="AE14">
        <v>224</v>
      </c>
      <c r="AF14">
        <v>3192</v>
      </c>
      <c r="AG14">
        <v>3</v>
      </c>
      <c r="AH14">
        <v>6</v>
      </c>
      <c r="AI14">
        <v>12</v>
      </c>
      <c r="AJ14" t="s">
        <v>20</v>
      </c>
      <c r="AK14" t="b">
        <v>1</v>
      </c>
      <c r="AL14">
        <v>0.5</v>
      </c>
      <c r="AM14" t="b">
        <v>1</v>
      </c>
      <c r="AN14">
        <v>12123.1884477037</v>
      </c>
      <c r="AO14">
        <v>14146.6113224654</v>
      </c>
      <c r="AP14">
        <v>12123.224262605399</v>
      </c>
      <c r="AQ14">
        <v>12123.1884477037</v>
      </c>
      <c r="AR14">
        <v>0</v>
      </c>
      <c r="AS14">
        <v>10982</v>
      </c>
      <c r="AT14">
        <v>3600.0681419372499</v>
      </c>
      <c r="AU14">
        <v>3600</v>
      </c>
    </row>
    <row r="15" spans="1:47" x14ac:dyDescent="0.35">
      <c r="A15">
        <f t="shared" si="5"/>
        <v>24.445265814869273</v>
      </c>
      <c r="B15">
        <f t="shared" si="6"/>
        <v>15.883287404811478</v>
      </c>
      <c r="C15">
        <f t="shared" si="7"/>
        <v>0.16779916865658503</v>
      </c>
      <c r="D15">
        <f t="shared" si="8"/>
        <v>0</v>
      </c>
      <c r="E15">
        <f t="shared" si="9"/>
        <v>0</v>
      </c>
      <c r="G15" t="s">
        <v>40</v>
      </c>
      <c r="H15">
        <v>2</v>
      </c>
      <c r="I15">
        <v>224</v>
      </c>
      <c r="J15">
        <v>3192</v>
      </c>
      <c r="K15">
        <v>3</v>
      </c>
      <c r="L15">
        <v>6</v>
      </c>
      <c r="M15">
        <v>13</v>
      </c>
      <c r="N15" t="s">
        <v>20</v>
      </c>
      <c r="O15" t="b">
        <v>1</v>
      </c>
      <c r="P15">
        <v>0.5</v>
      </c>
      <c r="Q15" t="b">
        <v>0</v>
      </c>
      <c r="R15">
        <v>12008.293066778</v>
      </c>
      <c r="S15">
        <v>14943.7522267804</v>
      </c>
      <c r="T15">
        <v>12028.4704130918</v>
      </c>
      <c r="U15">
        <v>12028.4428827139</v>
      </c>
      <c r="V15">
        <v>0</v>
      </c>
      <c r="W15">
        <v>147420</v>
      </c>
      <c r="X15">
        <v>3600.1317729949901</v>
      </c>
      <c r="Y15">
        <v>3600</v>
      </c>
      <c r="AC15" t="s">
        <v>40</v>
      </c>
      <c r="AD15">
        <v>2</v>
      </c>
      <c r="AE15">
        <v>224</v>
      </c>
      <c r="AF15">
        <v>3192</v>
      </c>
      <c r="AG15">
        <v>3</v>
      </c>
      <c r="AH15">
        <v>6</v>
      </c>
      <c r="AI15">
        <v>13</v>
      </c>
      <c r="AJ15" t="s">
        <v>20</v>
      </c>
      <c r="AK15" t="b">
        <v>1</v>
      </c>
      <c r="AL15">
        <v>0.5</v>
      </c>
      <c r="AM15" t="b">
        <v>1</v>
      </c>
      <c r="AN15">
        <v>12008.293066778</v>
      </c>
      <c r="AO15">
        <v>13915.6047669864</v>
      </c>
      <c r="AP15">
        <v>12028.4523099824</v>
      </c>
      <c r="AQ15">
        <v>12028.4428827139</v>
      </c>
      <c r="AR15">
        <v>0</v>
      </c>
      <c r="AS15">
        <v>7750</v>
      </c>
      <c r="AT15">
        <v>3600.29497289657</v>
      </c>
      <c r="AU15">
        <v>3600</v>
      </c>
    </row>
    <row r="16" spans="1:47" x14ac:dyDescent="0.35">
      <c r="A16">
        <f t="shared" si="5"/>
        <v>26.806005084694512</v>
      </c>
      <c r="B16">
        <f t="shared" si="6"/>
        <v>16.738461401078659</v>
      </c>
      <c r="C16">
        <f t="shared" si="7"/>
        <v>3.0424493587977153E-2</v>
      </c>
      <c r="D16">
        <f t="shared" si="8"/>
        <v>0</v>
      </c>
      <c r="E16">
        <f t="shared" si="9"/>
        <v>0</v>
      </c>
      <c r="G16" t="s">
        <v>40</v>
      </c>
      <c r="H16">
        <v>2</v>
      </c>
      <c r="I16">
        <v>224</v>
      </c>
      <c r="J16">
        <v>3192</v>
      </c>
      <c r="K16">
        <v>3</v>
      </c>
      <c r="L16">
        <v>6</v>
      </c>
      <c r="M16">
        <v>14</v>
      </c>
      <c r="N16" t="s">
        <v>20</v>
      </c>
      <c r="O16" t="b">
        <v>1</v>
      </c>
      <c r="P16">
        <v>0.5</v>
      </c>
      <c r="Q16" t="b">
        <v>0</v>
      </c>
      <c r="R16">
        <v>12134.6028190208</v>
      </c>
      <c r="S16">
        <v>15387.405067694999</v>
      </c>
      <c r="T16">
        <v>12147.0632284983</v>
      </c>
      <c r="U16">
        <v>12147.015552360401</v>
      </c>
      <c r="V16">
        <v>0</v>
      </c>
      <c r="W16">
        <v>57668</v>
      </c>
      <c r="X16">
        <v>3600.0968780517501</v>
      </c>
      <c r="Y16">
        <v>3600</v>
      </c>
      <c r="AC16" t="s">
        <v>40</v>
      </c>
      <c r="AD16">
        <v>2</v>
      </c>
      <c r="AE16">
        <v>224</v>
      </c>
      <c r="AF16">
        <v>3192</v>
      </c>
      <c r="AG16">
        <v>3</v>
      </c>
      <c r="AH16">
        <v>6</v>
      </c>
      <c r="AI16">
        <v>14</v>
      </c>
      <c r="AJ16" t="s">
        <v>20</v>
      </c>
      <c r="AK16" t="b">
        <v>1</v>
      </c>
      <c r="AL16">
        <v>0.5</v>
      </c>
      <c r="AM16" t="b">
        <v>1</v>
      </c>
      <c r="AN16">
        <v>12134.6028190208</v>
      </c>
      <c r="AO16">
        <v>14165.748628056799</v>
      </c>
      <c r="AP16">
        <v>12138.375847400999</v>
      </c>
      <c r="AQ16">
        <v>12138.294710477399</v>
      </c>
      <c r="AR16">
        <v>0</v>
      </c>
      <c r="AS16">
        <v>16446</v>
      </c>
      <c r="AT16">
        <v>3600.3285760879498</v>
      </c>
      <c r="AU16">
        <v>3600</v>
      </c>
    </row>
    <row r="17" spans="1:47" x14ac:dyDescent="0.35">
      <c r="A17">
        <f t="shared" si="5"/>
        <v>29.714640300526003</v>
      </c>
      <c r="B17">
        <f t="shared" si="6"/>
        <v>18.223461561812698</v>
      </c>
      <c r="C17">
        <f t="shared" si="7"/>
        <v>0</v>
      </c>
      <c r="D17">
        <f t="shared" si="8"/>
        <v>0</v>
      </c>
      <c r="E17">
        <f t="shared" si="9"/>
        <v>0</v>
      </c>
      <c r="G17" t="s">
        <v>40</v>
      </c>
      <c r="H17">
        <v>2</v>
      </c>
      <c r="I17">
        <v>224</v>
      </c>
      <c r="J17">
        <v>3192</v>
      </c>
      <c r="K17">
        <v>3</v>
      </c>
      <c r="L17">
        <v>6</v>
      </c>
      <c r="M17">
        <v>15</v>
      </c>
      <c r="N17" t="s">
        <v>20</v>
      </c>
      <c r="O17" t="b">
        <v>1</v>
      </c>
      <c r="P17">
        <v>0.5</v>
      </c>
      <c r="Q17" t="b">
        <v>0</v>
      </c>
      <c r="R17">
        <v>11958.617775639699</v>
      </c>
      <c r="S17">
        <v>15512.0780325858</v>
      </c>
      <c r="T17">
        <v>11958.651896913199</v>
      </c>
      <c r="U17">
        <v>11958.617775639699</v>
      </c>
      <c r="V17">
        <v>0</v>
      </c>
      <c r="W17">
        <v>136243</v>
      </c>
      <c r="X17">
        <v>3600.1089730262702</v>
      </c>
      <c r="Y17">
        <v>3600</v>
      </c>
      <c r="AC17" t="s">
        <v>40</v>
      </c>
      <c r="AD17">
        <v>2</v>
      </c>
      <c r="AE17">
        <v>224</v>
      </c>
      <c r="AF17">
        <v>3192</v>
      </c>
      <c r="AG17">
        <v>3</v>
      </c>
      <c r="AH17">
        <v>6</v>
      </c>
      <c r="AI17">
        <v>15</v>
      </c>
      <c r="AJ17" t="s">
        <v>20</v>
      </c>
      <c r="AK17" t="b">
        <v>1</v>
      </c>
      <c r="AL17">
        <v>0.5</v>
      </c>
      <c r="AM17" t="b">
        <v>1</v>
      </c>
      <c r="AN17">
        <v>11958.617775639699</v>
      </c>
      <c r="AO17">
        <v>14137.891889307501</v>
      </c>
      <c r="AP17">
        <v>11958.6594414091</v>
      </c>
      <c r="AQ17">
        <v>11958.617775639699</v>
      </c>
      <c r="AR17">
        <v>0</v>
      </c>
      <c r="AS17">
        <v>59348</v>
      </c>
      <c r="AT17">
        <v>3600.2569091320001</v>
      </c>
      <c r="AU17">
        <v>3600</v>
      </c>
    </row>
    <row r="18" spans="1:47" x14ac:dyDescent="0.35">
      <c r="A18">
        <f t="shared" si="5"/>
        <v>25.334216035935349</v>
      </c>
      <c r="B18">
        <f t="shared" si="6"/>
        <v>16.814536709336096</v>
      </c>
      <c r="C18">
        <f t="shared" si="7"/>
        <v>0</v>
      </c>
      <c r="D18">
        <f t="shared" si="8"/>
        <v>0</v>
      </c>
      <c r="E18">
        <f t="shared" si="9"/>
        <v>0</v>
      </c>
      <c r="G18" t="s">
        <v>40</v>
      </c>
      <c r="H18">
        <v>2</v>
      </c>
      <c r="I18">
        <v>224</v>
      </c>
      <c r="J18">
        <v>3192</v>
      </c>
      <c r="K18">
        <v>3</v>
      </c>
      <c r="L18">
        <v>6</v>
      </c>
      <c r="M18">
        <v>16</v>
      </c>
      <c r="N18" t="s">
        <v>20</v>
      </c>
      <c r="O18" t="b">
        <v>1</v>
      </c>
      <c r="P18">
        <v>0.5</v>
      </c>
      <c r="Q18" t="b">
        <v>0</v>
      </c>
      <c r="R18">
        <v>12199.391067664401</v>
      </c>
      <c r="S18">
        <v>15290.0111558151</v>
      </c>
      <c r="T18">
        <v>12199.512813211601</v>
      </c>
      <c r="U18">
        <v>12199.391067664401</v>
      </c>
      <c r="V18">
        <v>0</v>
      </c>
      <c r="W18">
        <v>309898</v>
      </c>
      <c r="X18">
        <v>3600.18091011047</v>
      </c>
      <c r="Y18">
        <v>3600</v>
      </c>
      <c r="AC18" t="s">
        <v>40</v>
      </c>
      <c r="AD18">
        <v>2</v>
      </c>
      <c r="AE18">
        <v>224</v>
      </c>
      <c r="AF18">
        <v>3192</v>
      </c>
      <c r="AG18">
        <v>3</v>
      </c>
      <c r="AH18">
        <v>6</v>
      </c>
      <c r="AI18">
        <v>16</v>
      </c>
      <c r="AJ18" t="s">
        <v>20</v>
      </c>
      <c r="AK18" t="b">
        <v>1</v>
      </c>
      <c r="AL18">
        <v>0.5</v>
      </c>
      <c r="AM18" t="b">
        <v>1</v>
      </c>
      <c r="AN18">
        <v>12199.391067664401</v>
      </c>
      <c r="AO18">
        <v>14250.6621570523</v>
      </c>
      <c r="AP18">
        <v>12199.3910773599</v>
      </c>
      <c r="AQ18">
        <v>12199.391067664401</v>
      </c>
      <c r="AR18">
        <v>0</v>
      </c>
      <c r="AS18">
        <v>21138</v>
      </c>
      <c r="AT18">
        <v>3600.2668259143802</v>
      </c>
      <c r="AU18">
        <v>3600</v>
      </c>
    </row>
    <row r="19" spans="1:47" x14ac:dyDescent="0.35">
      <c r="A19">
        <f t="shared" si="5"/>
        <v>26.601053594876678</v>
      </c>
      <c r="B19">
        <f t="shared" si="6"/>
        <v>15.890267616568607</v>
      </c>
      <c r="C19">
        <f t="shared" si="7"/>
        <v>0</v>
      </c>
      <c r="D19">
        <f t="shared" si="8"/>
        <v>0</v>
      </c>
      <c r="E19">
        <f t="shared" si="9"/>
        <v>0</v>
      </c>
      <c r="G19" t="s">
        <v>40</v>
      </c>
      <c r="H19">
        <v>2</v>
      </c>
      <c r="I19">
        <v>224</v>
      </c>
      <c r="J19">
        <v>3192</v>
      </c>
      <c r="K19">
        <v>3</v>
      </c>
      <c r="L19">
        <v>6</v>
      </c>
      <c r="M19">
        <v>17</v>
      </c>
      <c r="N19" t="s">
        <v>20</v>
      </c>
      <c r="O19" t="b">
        <v>1</v>
      </c>
      <c r="P19">
        <v>0.5</v>
      </c>
      <c r="Q19" t="b">
        <v>0</v>
      </c>
      <c r="R19">
        <v>12106.7468813828</v>
      </c>
      <c r="S19">
        <v>15327.269107895499</v>
      </c>
      <c r="T19">
        <v>12110.735596246899</v>
      </c>
      <c r="U19">
        <v>12110.6453946079</v>
      </c>
      <c r="V19">
        <v>0</v>
      </c>
      <c r="W19">
        <v>104535</v>
      </c>
      <c r="X19">
        <v>3600.1392779350199</v>
      </c>
      <c r="Y19">
        <v>3600</v>
      </c>
      <c r="AC19" t="s">
        <v>40</v>
      </c>
      <c r="AD19">
        <v>2</v>
      </c>
      <c r="AE19">
        <v>224</v>
      </c>
      <c r="AF19">
        <v>3192</v>
      </c>
      <c r="AG19">
        <v>3</v>
      </c>
      <c r="AH19">
        <v>6</v>
      </c>
      <c r="AI19">
        <v>17</v>
      </c>
      <c r="AJ19" t="s">
        <v>20</v>
      </c>
      <c r="AK19" t="b">
        <v>1</v>
      </c>
      <c r="AL19">
        <v>0.5</v>
      </c>
      <c r="AM19" t="b">
        <v>1</v>
      </c>
      <c r="AN19">
        <v>12106.7468813828</v>
      </c>
      <c r="AO19">
        <v>14030.541360495101</v>
      </c>
      <c r="AP19">
        <v>12106.8000626087</v>
      </c>
      <c r="AQ19">
        <v>12106.7468813828</v>
      </c>
      <c r="AR19">
        <v>0</v>
      </c>
      <c r="AS19">
        <v>18277</v>
      </c>
      <c r="AT19">
        <v>3600.1586329936899</v>
      </c>
      <c r="AU19">
        <v>3600</v>
      </c>
    </row>
    <row r="20" spans="1:47" x14ac:dyDescent="0.35">
      <c r="A20">
        <f t="shared" si="5"/>
        <v>24.441072885191645</v>
      </c>
      <c r="B20">
        <f t="shared" si="6"/>
        <v>16.072465745049051</v>
      </c>
      <c r="C20">
        <f t="shared" si="7"/>
        <v>0</v>
      </c>
      <c r="D20">
        <f t="shared" si="8"/>
        <v>0</v>
      </c>
      <c r="E20">
        <f t="shared" si="9"/>
        <v>0</v>
      </c>
      <c r="G20" t="s">
        <v>40</v>
      </c>
      <c r="H20">
        <v>2</v>
      </c>
      <c r="I20">
        <v>224</v>
      </c>
      <c r="J20">
        <v>3192</v>
      </c>
      <c r="K20">
        <v>3</v>
      </c>
      <c r="L20">
        <v>6</v>
      </c>
      <c r="M20">
        <v>18</v>
      </c>
      <c r="N20" t="s">
        <v>20</v>
      </c>
      <c r="O20" t="b">
        <v>1</v>
      </c>
      <c r="P20">
        <v>0.5</v>
      </c>
      <c r="Q20" t="b">
        <v>0</v>
      </c>
      <c r="R20">
        <v>11988.686092702699</v>
      </c>
      <c r="S20">
        <v>14918.849598597</v>
      </c>
      <c r="T20">
        <v>11988.7241543666</v>
      </c>
      <c r="U20">
        <v>11988.686092702699</v>
      </c>
      <c r="V20">
        <v>0</v>
      </c>
      <c r="W20">
        <v>40425</v>
      </c>
      <c r="X20">
        <v>3600.07624387741</v>
      </c>
      <c r="Y20">
        <v>3600</v>
      </c>
      <c r="AC20" t="s">
        <v>40</v>
      </c>
      <c r="AD20">
        <v>2</v>
      </c>
      <c r="AE20">
        <v>224</v>
      </c>
      <c r="AF20">
        <v>3192</v>
      </c>
      <c r="AG20">
        <v>3</v>
      </c>
      <c r="AH20">
        <v>6</v>
      </c>
      <c r="AI20">
        <v>18</v>
      </c>
      <c r="AJ20" t="s">
        <v>20</v>
      </c>
      <c r="AK20" t="b">
        <v>1</v>
      </c>
      <c r="AL20">
        <v>0.5</v>
      </c>
      <c r="AM20" t="b">
        <v>1</v>
      </c>
      <c r="AN20">
        <v>11988.686092702699</v>
      </c>
      <c r="AO20">
        <v>13915.5635582338</v>
      </c>
      <c r="AP20">
        <v>11988.686092702799</v>
      </c>
      <c r="AQ20">
        <v>11988.686092702699</v>
      </c>
      <c r="AR20">
        <v>0</v>
      </c>
      <c r="AS20">
        <v>12548</v>
      </c>
      <c r="AT20">
        <v>3600.2868430614399</v>
      </c>
      <c r="AU20">
        <v>3600</v>
      </c>
    </row>
    <row r="21" spans="1:47" x14ac:dyDescent="0.35">
      <c r="A21">
        <f t="shared" si="5"/>
        <v>24.890900820860693</v>
      </c>
      <c r="B21">
        <f t="shared" si="6"/>
        <v>16.601106930734229</v>
      </c>
      <c r="C21">
        <f t="shared" si="7"/>
        <v>4.7650713541655856E-2</v>
      </c>
      <c r="D21">
        <f t="shared" si="8"/>
        <v>0</v>
      </c>
      <c r="E21">
        <f t="shared" si="9"/>
        <v>0</v>
      </c>
      <c r="G21" t="s">
        <v>40</v>
      </c>
      <c r="H21">
        <v>2</v>
      </c>
      <c r="I21">
        <v>224</v>
      </c>
      <c r="J21">
        <v>3192</v>
      </c>
      <c r="K21">
        <v>3</v>
      </c>
      <c r="L21">
        <v>6</v>
      </c>
      <c r="M21">
        <v>19</v>
      </c>
      <c r="N21" t="s">
        <v>20</v>
      </c>
      <c r="O21" t="b">
        <v>1</v>
      </c>
      <c r="P21">
        <v>0.5</v>
      </c>
      <c r="Q21" t="b">
        <v>0</v>
      </c>
      <c r="R21">
        <v>11930.0670476454</v>
      </c>
      <c r="S21">
        <v>14899.568204337</v>
      </c>
      <c r="T21">
        <v>11935.751809719601</v>
      </c>
      <c r="U21">
        <v>11935.751809719601</v>
      </c>
      <c r="V21">
        <v>0</v>
      </c>
      <c r="W21">
        <v>223029</v>
      </c>
      <c r="X21">
        <v>3600.1628329753798</v>
      </c>
      <c r="Y21">
        <v>3600</v>
      </c>
      <c r="AC21" t="s">
        <v>40</v>
      </c>
      <c r="AD21">
        <v>2</v>
      </c>
      <c r="AE21">
        <v>224</v>
      </c>
      <c r="AF21">
        <v>3192</v>
      </c>
      <c r="AG21">
        <v>3</v>
      </c>
      <c r="AH21">
        <v>6</v>
      </c>
      <c r="AI21">
        <v>19</v>
      </c>
      <c r="AJ21" t="s">
        <v>20</v>
      </c>
      <c r="AK21" t="b">
        <v>1</v>
      </c>
      <c r="AL21">
        <v>0.5</v>
      </c>
      <c r="AM21" t="b">
        <v>1</v>
      </c>
      <c r="AN21">
        <v>11930.0670476454</v>
      </c>
      <c r="AO21">
        <v>13910.590235133301</v>
      </c>
      <c r="AP21">
        <v>11935.75184029</v>
      </c>
      <c r="AQ21">
        <v>11935.751809719601</v>
      </c>
      <c r="AR21">
        <v>0</v>
      </c>
      <c r="AS21">
        <v>7009</v>
      </c>
      <c r="AT21">
        <v>3600.1573050022098</v>
      </c>
      <c r="AU21">
        <v>3600</v>
      </c>
    </row>
    <row r="22" spans="1:47" x14ac:dyDescent="0.35">
      <c r="A22">
        <f t="shared" si="5"/>
        <v>24.639144029644765</v>
      </c>
      <c r="B22">
        <f t="shared" si="6"/>
        <v>16.24826464200579</v>
      </c>
      <c r="C22">
        <f t="shared" si="7"/>
        <v>0.12153129831890699</v>
      </c>
      <c r="D22">
        <f t="shared" si="8"/>
        <v>0</v>
      </c>
      <c r="E22">
        <f t="shared" si="9"/>
        <v>0</v>
      </c>
      <c r="G22" t="s">
        <v>40</v>
      </c>
      <c r="H22">
        <v>2</v>
      </c>
      <c r="I22">
        <v>224</v>
      </c>
      <c r="J22">
        <v>3192</v>
      </c>
      <c r="K22">
        <v>3</v>
      </c>
      <c r="L22">
        <v>6</v>
      </c>
      <c r="M22">
        <v>20</v>
      </c>
      <c r="N22" t="s">
        <v>20</v>
      </c>
      <c r="O22" t="b">
        <v>1</v>
      </c>
      <c r="P22">
        <v>0.5</v>
      </c>
      <c r="Q22" t="b">
        <v>0</v>
      </c>
      <c r="R22">
        <v>12067.861567984301</v>
      </c>
      <c r="S22">
        <v>15041.2793610181</v>
      </c>
      <c r="T22">
        <v>12082.5277968273</v>
      </c>
      <c r="U22">
        <v>12082.5277968272</v>
      </c>
      <c r="V22">
        <v>0</v>
      </c>
      <c r="W22">
        <v>63635</v>
      </c>
      <c r="X22">
        <v>3600.0886809825802</v>
      </c>
      <c r="Y22">
        <v>3600</v>
      </c>
      <c r="AC22" t="s">
        <v>40</v>
      </c>
      <c r="AD22">
        <v>2</v>
      </c>
      <c r="AE22">
        <v>224</v>
      </c>
      <c r="AF22">
        <v>3192</v>
      </c>
      <c r="AG22">
        <v>3</v>
      </c>
      <c r="AH22">
        <v>6</v>
      </c>
      <c r="AI22">
        <v>20</v>
      </c>
      <c r="AJ22" t="s">
        <v>20</v>
      </c>
      <c r="AK22" t="b">
        <v>1</v>
      </c>
      <c r="AL22">
        <v>0.5</v>
      </c>
      <c r="AM22" t="b">
        <v>1</v>
      </c>
      <c r="AN22">
        <v>12067.861567984301</v>
      </c>
      <c r="AO22">
        <v>14028.679652181299</v>
      </c>
      <c r="AP22">
        <v>12082.5277968272</v>
      </c>
      <c r="AQ22">
        <v>12082.5277968272</v>
      </c>
      <c r="AR22">
        <v>0</v>
      </c>
      <c r="AS22">
        <v>14346</v>
      </c>
      <c r="AT22">
        <v>3600.23028707504</v>
      </c>
      <c r="AU22">
        <v>3600</v>
      </c>
    </row>
    <row r="23" spans="1:47" x14ac:dyDescent="0.35">
      <c r="A23">
        <f t="shared" si="5"/>
        <v>27.111406731764603</v>
      </c>
      <c r="B23">
        <f t="shared" si="6"/>
        <v>16.948021706219517</v>
      </c>
      <c r="C23">
        <f t="shared" si="7"/>
        <v>0</v>
      </c>
      <c r="D23">
        <f t="shared" si="8"/>
        <v>0</v>
      </c>
      <c r="E23">
        <f t="shared" si="9"/>
        <v>0</v>
      </c>
      <c r="G23" t="s">
        <v>40</v>
      </c>
      <c r="H23">
        <v>2</v>
      </c>
      <c r="I23">
        <v>224</v>
      </c>
      <c r="J23">
        <v>3192</v>
      </c>
      <c r="K23">
        <v>3</v>
      </c>
      <c r="L23">
        <v>6</v>
      </c>
      <c r="M23">
        <v>21</v>
      </c>
      <c r="N23" t="s">
        <v>20</v>
      </c>
      <c r="O23" t="b">
        <v>1</v>
      </c>
      <c r="P23">
        <v>0.5</v>
      </c>
      <c r="Q23" t="b">
        <v>0</v>
      </c>
      <c r="R23">
        <v>12125.628020313099</v>
      </c>
      <c r="S23">
        <v>15413.056351681</v>
      </c>
      <c r="T23">
        <v>12125.6866480396</v>
      </c>
      <c r="U23">
        <v>12125.628020313099</v>
      </c>
      <c r="V23">
        <v>0</v>
      </c>
      <c r="W23">
        <v>142928</v>
      </c>
      <c r="X23">
        <v>3600.1229450702599</v>
      </c>
      <c r="Y23">
        <v>3600</v>
      </c>
      <c r="AC23" t="s">
        <v>40</v>
      </c>
      <c r="AD23">
        <v>2</v>
      </c>
      <c r="AE23">
        <v>224</v>
      </c>
      <c r="AF23">
        <v>3192</v>
      </c>
      <c r="AG23">
        <v>3</v>
      </c>
      <c r="AH23">
        <v>6</v>
      </c>
      <c r="AI23">
        <v>21</v>
      </c>
      <c r="AJ23" t="s">
        <v>20</v>
      </c>
      <c r="AK23" t="b">
        <v>1</v>
      </c>
      <c r="AL23">
        <v>0.5</v>
      </c>
      <c r="AM23" t="b">
        <v>1</v>
      </c>
      <c r="AN23">
        <v>12125.628020313099</v>
      </c>
      <c r="AO23">
        <v>14180.682089211199</v>
      </c>
      <c r="AP23">
        <v>12125.6280305693</v>
      </c>
      <c r="AQ23">
        <v>12125.628020313099</v>
      </c>
      <c r="AR23">
        <v>0</v>
      </c>
      <c r="AS23">
        <v>19333</v>
      </c>
      <c r="AT23">
        <v>3600.30034995079</v>
      </c>
      <c r="AU23">
        <v>3600</v>
      </c>
    </row>
    <row r="24" spans="1:47" x14ac:dyDescent="0.35">
      <c r="A24">
        <f t="shared" si="5"/>
        <v>28.951613102941781</v>
      </c>
      <c r="B24">
        <f t="shared" si="6"/>
        <v>16.789786682245985</v>
      </c>
      <c r="C24">
        <f t="shared" si="7"/>
        <v>7.0442316222736584E-2</v>
      </c>
      <c r="D24">
        <f t="shared" si="8"/>
        <v>0</v>
      </c>
      <c r="E24">
        <f t="shared" si="9"/>
        <v>0</v>
      </c>
      <c r="G24" t="s">
        <v>40</v>
      </c>
      <c r="H24">
        <v>2</v>
      </c>
      <c r="I24">
        <v>224</v>
      </c>
      <c r="J24">
        <v>3192</v>
      </c>
      <c r="K24">
        <v>3</v>
      </c>
      <c r="L24">
        <v>6</v>
      </c>
      <c r="M24">
        <v>22</v>
      </c>
      <c r="N24" t="s">
        <v>20</v>
      </c>
      <c r="O24" t="b">
        <v>1</v>
      </c>
      <c r="P24">
        <v>0.5</v>
      </c>
      <c r="Q24" t="b">
        <v>0</v>
      </c>
      <c r="R24">
        <v>12172.7239476166</v>
      </c>
      <c r="S24">
        <v>15696.923889019699</v>
      </c>
      <c r="T24">
        <v>12181.418927057301</v>
      </c>
      <c r="U24">
        <v>12181.2986963127</v>
      </c>
      <c r="V24">
        <v>0</v>
      </c>
      <c r="W24">
        <v>157088</v>
      </c>
      <c r="X24">
        <v>3600.1827869415201</v>
      </c>
      <c r="Y24">
        <v>3600</v>
      </c>
      <c r="AC24" t="s">
        <v>40</v>
      </c>
      <c r="AD24">
        <v>2</v>
      </c>
      <c r="AE24">
        <v>224</v>
      </c>
      <c r="AF24">
        <v>3192</v>
      </c>
      <c r="AG24">
        <v>3</v>
      </c>
      <c r="AH24">
        <v>6</v>
      </c>
      <c r="AI24">
        <v>22</v>
      </c>
      <c r="AJ24" t="s">
        <v>20</v>
      </c>
      <c r="AK24" t="b">
        <v>1</v>
      </c>
      <c r="AL24">
        <v>0.5</v>
      </c>
      <c r="AM24" t="b">
        <v>1</v>
      </c>
      <c r="AN24">
        <v>12172.7239476166</v>
      </c>
      <c r="AO24">
        <v>14216.498331840099</v>
      </c>
      <c r="AP24">
        <v>12181.3420571892</v>
      </c>
      <c r="AQ24">
        <v>12181.2986963127</v>
      </c>
      <c r="AR24">
        <v>0</v>
      </c>
      <c r="AS24">
        <v>20711</v>
      </c>
      <c r="AT24">
        <v>3600.27778100967</v>
      </c>
      <c r="AU24">
        <v>3600</v>
      </c>
    </row>
    <row r="25" spans="1:47" x14ac:dyDescent="0.35">
      <c r="A25">
        <f t="shared" si="5"/>
        <v>26.953271778353528</v>
      </c>
      <c r="B25">
        <f t="shared" si="6"/>
        <v>17.699536466068675</v>
      </c>
      <c r="C25">
        <f t="shared" si="7"/>
        <v>0.25008075293232862</v>
      </c>
      <c r="D25">
        <f t="shared" si="8"/>
        <v>0</v>
      </c>
      <c r="E25">
        <f t="shared" si="9"/>
        <v>0</v>
      </c>
      <c r="G25" t="s">
        <v>40</v>
      </c>
      <c r="H25">
        <v>2</v>
      </c>
      <c r="I25">
        <v>224</v>
      </c>
      <c r="J25">
        <v>3192</v>
      </c>
      <c r="K25">
        <v>3</v>
      </c>
      <c r="L25">
        <v>6</v>
      </c>
      <c r="M25">
        <v>23</v>
      </c>
      <c r="N25" t="s">
        <v>20</v>
      </c>
      <c r="O25" t="b">
        <v>1</v>
      </c>
      <c r="P25">
        <v>0.5</v>
      </c>
      <c r="Q25" t="b">
        <v>0</v>
      </c>
      <c r="R25">
        <v>12025.2045234914</v>
      </c>
      <c r="S25">
        <v>15266.3905806109</v>
      </c>
      <c r="T25">
        <v>12055.2969660291</v>
      </c>
      <c r="U25">
        <v>12055.2772455054</v>
      </c>
      <c r="V25">
        <v>0</v>
      </c>
      <c r="W25">
        <v>113423</v>
      </c>
      <c r="X25">
        <v>3600.10743308067</v>
      </c>
      <c r="Y25">
        <v>3600</v>
      </c>
      <c r="AC25" t="s">
        <v>40</v>
      </c>
      <c r="AD25">
        <v>2</v>
      </c>
      <c r="AE25">
        <v>224</v>
      </c>
      <c r="AF25">
        <v>3192</v>
      </c>
      <c r="AG25">
        <v>3</v>
      </c>
      <c r="AH25">
        <v>6</v>
      </c>
      <c r="AI25">
        <v>23</v>
      </c>
      <c r="AJ25" t="s">
        <v>20</v>
      </c>
      <c r="AK25" t="b">
        <v>1</v>
      </c>
      <c r="AL25">
        <v>0.5</v>
      </c>
      <c r="AM25" t="b">
        <v>1</v>
      </c>
      <c r="AN25">
        <v>12025.2045234914</v>
      </c>
      <c r="AO25">
        <v>14153.6099832461</v>
      </c>
      <c r="AP25">
        <v>12055.291661606199</v>
      </c>
      <c r="AQ25">
        <v>12055.2772455054</v>
      </c>
      <c r="AR25">
        <v>0</v>
      </c>
      <c r="AS25">
        <v>11572</v>
      </c>
      <c r="AT25">
        <v>3600.09810495376</v>
      </c>
      <c r="AU25">
        <v>3600</v>
      </c>
    </row>
    <row r="26" spans="1:47" x14ac:dyDescent="0.35">
      <c r="A26">
        <f t="shared" si="5"/>
        <v>27.20295086949794</v>
      </c>
      <c r="B26">
        <f t="shared" si="6"/>
        <v>17.866014356132791</v>
      </c>
      <c r="C26">
        <f t="shared" si="7"/>
        <v>8.6100202896290251E-3</v>
      </c>
      <c r="D26">
        <f t="shared" si="8"/>
        <v>0</v>
      </c>
      <c r="E26">
        <f t="shared" si="9"/>
        <v>0</v>
      </c>
      <c r="G26" t="s">
        <v>40</v>
      </c>
      <c r="H26">
        <v>2</v>
      </c>
      <c r="I26">
        <v>224</v>
      </c>
      <c r="J26">
        <v>3192</v>
      </c>
      <c r="K26">
        <v>3</v>
      </c>
      <c r="L26">
        <v>6</v>
      </c>
      <c r="M26">
        <v>24</v>
      </c>
      <c r="N26" t="s">
        <v>20</v>
      </c>
      <c r="O26" t="b">
        <v>1</v>
      </c>
      <c r="P26">
        <v>0.5</v>
      </c>
      <c r="Q26" t="b">
        <v>0</v>
      </c>
      <c r="R26">
        <v>11950.768729769799</v>
      </c>
      <c r="S26">
        <v>15201.730475856401</v>
      </c>
      <c r="T26">
        <v>11951.859526090801</v>
      </c>
      <c r="U26">
        <v>11951.797693382199</v>
      </c>
      <c r="V26">
        <v>0</v>
      </c>
      <c r="W26">
        <v>209180</v>
      </c>
      <c r="X26">
        <v>3600.1807789802501</v>
      </c>
      <c r="Y26">
        <v>3600</v>
      </c>
      <c r="AC26" t="s">
        <v>40</v>
      </c>
      <c r="AD26">
        <v>2</v>
      </c>
      <c r="AE26">
        <v>224</v>
      </c>
      <c r="AF26">
        <v>3192</v>
      </c>
      <c r="AG26">
        <v>3</v>
      </c>
      <c r="AH26">
        <v>6</v>
      </c>
      <c r="AI26">
        <v>24</v>
      </c>
      <c r="AJ26" t="s">
        <v>20</v>
      </c>
      <c r="AK26" t="b">
        <v>1</v>
      </c>
      <c r="AL26">
        <v>0.5</v>
      </c>
      <c r="AM26" t="b">
        <v>1</v>
      </c>
      <c r="AN26">
        <v>11950.768729769799</v>
      </c>
      <c r="AO26">
        <v>14085.8947866987</v>
      </c>
      <c r="AP26">
        <v>11951.818222231601</v>
      </c>
      <c r="AQ26">
        <v>11951.797693382199</v>
      </c>
      <c r="AR26">
        <v>0</v>
      </c>
      <c r="AS26">
        <v>20976</v>
      </c>
      <c r="AT26">
        <v>3600.2828269004799</v>
      </c>
      <c r="AU26">
        <v>3600</v>
      </c>
    </row>
    <row r="27" spans="1:47" x14ac:dyDescent="0.35">
      <c r="A27">
        <f t="shared" si="5"/>
        <v>31.769962376889975</v>
      </c>
      <c r="B27">
        <f t="shared" si="6"/>
        <v>16.231687516458926</v>
      </c>
      <c r="C27">
        <f t="shared" si="7"/>
        <v>0.17378195921750522</v>
      </c>
      <c r="D27">
        <f t="shared" si="8"/>
        <v>0</v>
      </c>
      <c r="E27">
        <f t="shared" si="9"/>
        <v>0</v>
      </c>
      <c r="G27" t="s">
        <v>40</v>
      </c>
      <c r="H27">
        <v>2</v>
      </c>
      <c r="I27">
        <v>224</v>
      </c>
      <c r="J27">
        <v>3192</v>
      </c>
      <c r="K27">
        <v>3</v>
      </c>
      <c r="L27">
        <v>6</v>
      </c>
      <c r="M27">
        <v>25</v>
      </c>
      <c r="N27" t="s">
        <v>20</v>
      </c>
      <c r="O27" t="b">
        <v>1</v>
      </c>
      <c r="P27">
        <v>0.5</v>
      </c>
      <c r="Q27" t="b">
        <v>0</v>
      </c>
      <c r="R27">
        <v>12004.6331467524</v>
      </c>
      <c r="S27">
        <v>15818.5005809593</v>
      </c>
      <c r="T27">
        <v>12011.822981212899</v>
      </c>
      <c r="U27">
        <v>12011.7682276097</v>
      </c>
      <c r="V27">
        <v>0</v>
      </c>
      <c r="W27">
        <v>109303</v>
      </c>
      <c r="X27">
        <v>3600.1885089874199</v>
      </c>
      <c r="Y27">
        <v>3600</v>
      </c>
      <c r="AC27" t="s">
        <v>40</v>
      </c>
      <c r="AD27">
        <v>2</v>
      </c>
      <c r="AE27">
        <v>224</v>
      </c>
      <c r="AF27">
        <v>3192</v>
      </c>
      <c r="AG27">
        <v>3</v>
      </c>
      <c r="AH27">
        <v>6</v>
      </c>
      <c r="AI27">
        <v>25</v>
      </c>
      <c r="AJ27" t="s">
        <v>20</v>
      </c>
      <c r="AK27" t="b">
        <v>1</v>
      </c>
      <c r="AL27">
        <v>0.5</v>
      </c>
      <c r="AM27" t="b">
        <v>1</v>
      </c>
      <c r="AN27">
        <v>12004.6331467524</v>
      </c>
      <c r="AO27">
        <v>13953.187686630499</v>
      </c>
      <c r="AP27">
        <v>12025.554826571301</v>
      </c>
      <c r="AQ27">
        <v>12025.4950334317</v>
      </c>
      <c r="AR27">
        <v>0</v>
      </c>
      <c r="AS27">
        <v>12981</v>
      </c>
      <c r="AT27">
        <v>3600.2321820258999</v>
      </c>
      <c r="AU27">
        <v>3600</v>
      </c>
    </row>
    <row r="28" spans="1:47" x14ac:dyDescent="0.35">
      <c r="A28">
        <f t="shared" si="5"/>
        <v>27.530888376005752</v>
      </c>
      <c r="B28">
        <f t="shared" si="6"/>
        <v>18.545997007937622</v>
      </c>
      <c r="C28">
        <f t="shared" si="7"/>
        <v>0</v>
      </c>
      <c r="D28">
        <f t="shared" si="8"/>
        <v>0</v>
      </c>
      <c r="E28">
        <f t="shared" si="9"/>
        <v>0</v>
      </c>
      <c r="G28" t="s">
        <v>40</v>
      </c>
      <c r="H28">
        <v>2</v>
      </c>
      <c r="I28">
        <v>224</v>
      </c>
      <c r="J28">
        <v>3192</v>
      </c>
      <c r="K28">
        <v>3</v>
      </c>
      <c r="L28">
        <v>6</v>
      </c>
      <c r="M28">
        <v>26</v>
      </c>
      <c r="N28" t="s">
        <v>20</v>
      </c>
      <c r="O28" t="b">
        <v>1</v>
      </c>
      <c r="P28">
        <v>0.5</v>
      </c>
      <c r="Q28" t="b">
        <v>0</v>
      </c>
      <c r="R28">
        <v>12063.496423889999</v>
      </c>
      <c r="S28">
        <v>15384.6841585946</v>
      </c>
      <c r="T28">
        <v>12063.5138785455</v>
      </c>
      <c r="U28">
        <v>12063.496423889999</v>
      </c>
      <c r="V28">
        <v>0</v>
      </c>
      <c r="W28">
        <v>81128</v>
      </c>
      <c r="X28">
        <v>3600.1368539333298</v>
      </c>
      <c r="Y28">
        <v>3600</v>
      </c>
      <c r="AC28" t="s">
        <v>40</v>
      </c>
      <c r="AD28">
        <v>2</v>
      </c>
      <c r="AE28">
        <v>224</v>
      </c>
      <c r="AF28">
        <v>3192</v>
      </c>
      <c r="AG28">
        <v>3</v>
      </c>
      <c r="AH28">
        <v>6</v>
      </c>
      <c r="AI28">
        <v>26</v>
      </c>
      <c r="AJ28" t="s">
        <v>20</v>
      </c>
      <c r="AK28" t="b">
        <v>1</v>
      </c>
      <c r="AL28">
        <v>0.5</v>
      </c>
      <c r="AM28" t="b">
        <v>1</v>
      </c>
      <c r="AN28">
        <v>12063.496423889999</v>
      </c>
      <c r="AO28">
        <v>14300.7921097173</v>
      </c>
      <c r="AP28">
        <v>12063.496423890099</v>
      </c>
      <c r="AQ28">
        <v>12063.496423889999</v>
      </c>
      <c r="AR28">
        <v>0</v>
      </c>
      <c r="AS28">
        <v>37782</v>
      </c>
      <c r="AT28">
        <v>3600.2422749996099</v>
      </c>
      <c r="AU28">
        <v>3600</v>
      </c>
    </row>
    <row r="29" spans="1:47" x14ac:dyDescent="0.35">
      <c r="A29">
        <f t="shared" si="5"/>
        <v>29.629546568431397</v>
      </c>
      <c r="B29">
        <f t="shared" si="6"/>
        <v>16.89915066047508</v>
      </c>
      <c r="C29">
        <f t="shared" si="7"/>
        <v>0.15713230653651572</v>
      </c>
      <c r="D29">
        <f t="shared" si="8"/>
        <v>0</v>
      </c>
      <c r="E29">
        <f t="shared" si="9"/>
        <v>0</v>
      </c>
      <c r="G29" t="s">
        <v>40</v>
      </c>
      <c r="H29">
        <v>2</v>
      </c>
      <c r="I29">
        <v>224</v>
      </c>
      <c r="J29">
        <v>3192</v>
      </c>
      <c r="K29">
        <v>3</v>
      </c>
      <c r="L29">
        <v>6</v>
      </c>
      <c r="M29">
        <v>27</v>
      </c>
      <c r="N29" t="s">
        <v>20</v>
      </c>
      <c r="O29" t="b">
        <v>1</v>
      </c>
      <c r="P29">
        <v>0.5</v>
      </c>
      <c r="Q29" t="b">
        <v>0</v>
      </c>
      <c r="R29">
        <v>12046.9582284798</v>
      </c>
      <c r="S29">
        <v>15616.4173268667</v>
      </c>
      <c r="T29">
        <v>12052.890979638099</v>
      </c>
      <c r="U29">
        <v>12052.8066559741</v>
      </c>
      <c r="V29">
        <v>0</v>
      </c>
      <c r="W29">
        <v>27383</v>
      </c>
      <c r="X29">
        <v>3600.1121070384902</v>
      </c>
      <c r="Y29">
        <v>3600</v>
      </c>
      <c r="AC29" t="s">
        <v>40</v>
      </c>
      <c r="AD29">
        <v>2</v>
      </c>
      <c r="AE29">
        <v>224</v>
      </c>
      <c r="AF29">
        <v>3192</v>
      </c>
      <c r="AG29">
        <v>3</v>
      </c>
      <c r="AH29">
        <v>6</v>
      </c>
      <c r="AI29">
        <v>27</v>
      </c>
      <c r="AJ29" t="s">
        <v>20</v>
      </c>
      <c r="AK29" t="b">
        <v>1</v>
      </c>
      <c r="AL29">
        <v>0.5</v>
      </c>
      <c r="AM29" t="b">
        <v>1</v>
      </c>
      <c r="AN29">
        <v>12046.9582284798</v>
      </c>
      <c r="AO29">
        <v>14082.791849515101</v>
      </c>
      <c r="AP29">
        <v>12065.953745262401</v>
      </c>
      <c r="AQ29">
        <v>12065.887891811701</v>
      </c>
      <c r="AR29">
        <v>0</v>
      </c>
      <c r="AS29">
        <v>13656</v>
      </c>
      <c r="AT29">
        <v>3600.1389119625001</v>
      </c>
      <c r="AU29">
        <v>3600</v>
      </c>
    </row>
    <row r="30" spans="1:47" x14ac:dyDescent="0.35">
      <c r="A30">
        <f t="shared" si="5"/>
        <v>27.096107337836834</v>
      </c>
      <c r="B30">
        <f t="shared" si="6"/>
        <v>15.660962046270663</v>
      </c>
      <c r="C30">
        <f t="shared" si="7"/>
        <v>0</v>
      </c>
      <c r="D30">
        <f t="shared" si="8"/>
        <v>0</v>
      </c>
      <c r="E30">
        <f t="shared" si="9"/>
        <v>0</v>
      </c>
      <c r="G30" t="s">
        <v>40</v>
      </c>
      <c r="H30">
        <v>2</v>
      </c>
      <c r="I30">
        <v>224</v>
      </c>
      <c r="J30">
        <v>3192</v>
      </c>
      <c r="K30">
        <v>3</v>
      </c>
      <c r="L30">
        <v>6</v>
      </c>
      <c r="M30">
        <v>28</v>
      </c>
      <c r="N30" t="s">
        <v>20</v>
      </c>
      <c r="O30" t="b">
        <v>1</v>
      </c>
      <c r="P30">
        <v>0.5</v>
      </c>
      <c r="Q30" t="b">
        <v>0</v>
      </c>
      <c r="R30">
        <v>12051.005558266599</v>
      </c>
      <c r="S30">
        <v>15316.3589596232</v>
      </c>
      <c r="T30">
        <v>12051.0208270516</v>
      </c>
      <c r="U30">
        <v>12051.005558266599</v>
      </c>
      <c r="V30">
        <v>0</v>
      </c>
      <c r="W30">
        <v>203528</v>
      </c>
      <c r="X30">
        <v>3600.1091170310901</v>
      </c>
      <c r="Y30">
        <v>3600</v>
      </c>
      <c r="AC30" t="s">
        <v>40</v>
      </c>
      <c r="AD30">
        <v>2</v>
      </c>
      <c r="AE30">
        <v>224</v>
      </c>
      <c r="AF30">
        <v>3192</v>
      </c>
      <c r="AG30">
        <v>3</v>
      </c>
      <c r="AH30">
        <v>6</v>
      </c>
      <c r="AI30">
        <v>28</v>
      </c>
      <c r="AJ30" t="s">
        <v>20</v>
      </c>
      <c r="AK30" t="b">
        <v>1</v>
      </c>
      <c r="AL30">
        <v>0.5</v>
      </c>
      <c r="AM30" t="b">
        <v>1</v>
      </c>
      <c r="AN30">
        <v>12051.005558266599</v>
      </c>
      <c r="AO30">
        <v>13938.308964940699</v>
      </c>
      <c r="AP30">
        <v>12051.005558266599</v>
      </c>
      <c r="AQ30">
        <v>12051.005558266599</v>
      </c>
      <c r="AR30">
        <v>0</v>
      </c>
      <c r="AS30">
        <v>6618</v>
      </c>
      <c r="AT30">
        <v>3600.2038850784302</v>
      </c>
      <c r="AU30">
        <v>3600</v>
      </c>
    </row>
    <row r="31" spans="1:47" x14ac:dyDescent="0.35">
      <c r="A31">
        <f t="shared" si="5"/>
        <v>27.303843013275287</v>
      </c>
      <c r="B31">
        <f t="shared" si="6"/>
        <v>17.995861626860719</v>
      </c>
      <c r="C31">
        <f t="shared" si="7"/>
        <v>0</v>
      </c>
      <c r="D31">
        <f t="shared" si="8"/>
        <v>0</v>
      </c>
      <c r="E31">
        <f t="shared" si="9"/>
        <v>0</v>
      </c>
      <c r="G31" t="s">
        <v>40</v>
      </c>
      <c r="H31">
        <v>2</v>
      </c>
      <c r="I31">
        <v>224</v>
      </c>
      <c r="J31">
        <v>3192</v>
      </c>
      <c r="K31">
        <v>3</v>
      </c>
      <c r="L31">
        <v>6</v>
      </c>
      <c r="M31">
        <v>29</v>
      </c>
      <c r="N31" t="s">
        <v>20</v>
      </c>
      <c r="O31" t="b">
        <v>1</v>
      </c>
      <c r="P31">
        <v>0.5</v>
      </c>
      <c r="Q31" t="b">
        <v>0</v>
      </c>
      <c r="R31">
        <v>11981.918266537299</v>
      </c>
      <c r="S31">
        <v>15253.442420011599</v>
      </c>
      <c r="T31">
        <v>11981.920270836299</v>
      </c>
      <c r="U31">
        <v>11981.918266537299</v>
      </c>
      <c r="V31">
        <v>0</v>
      </c>
      <c r="W31">
        <v>445582</v>
      </c>
      <c r="X31">
        <v>3600.2199850082302</v>
      </c>
      <c r="Y31">
        <v>3600</v>
      </c>
      <c r="AC31" t="s">
        <v>40</v>
      </c>
      <c r="AD31">
        <v>2</v>
      </c>
      <c r="AE31">
        <v>224</v>
      </c>
      <c r="AF31">
        <v>3192</v>
      </c>
      <c r="AG31">
        <v>3</v>
      </c>
      <c r="AH31">
        <v>6</v>
      </c>
      <c r="AI31">
        <v>29</v>
      </c>
      <c r="AJ31" t="s">
        <v>20</v>
      </c>
      <c r="AK31" t="b">
        <v>1</v>
      </c>
      <c r="AL31">
        <v>0.5</v>
      </c>
      <c r="AM31" t="b">
        <v>1</v>
      </c>
      <c r="AN31">
        <v>11981.918266537299</v>
      </c>
      <c r="AO31">
        <v>14138.1676980269</v>
      </c>
      <c r="AP31">
        <v>11981.918266537299</v>
      </c>
      <c r="AQ31">
        <v>11981.918266537299</v>
      </c>
      <c r="AR31">
        <v>0</v>
      </c>
      <c r="AS31">
        <v>18802</v>
      </c>
      <c r="AT31">
        <v>3600.2096548080399</v>
      </c>
      <c r="AU31">
        <v>3600</v>
      </c>
    </row>
    <row r="32" spans="1:47" x14ac:dyDescent="0.35">
      <c r="A32">
        <f t="shared" si="5"/>
        <v>26.514819174539134</v>
      </c>
      <c r="B32">
        <f t="shared" si="6"/>
        <v>17.557285868575921</v>
      </c>
      <c r="C32">
        <f t="shared" si="7"/>
        <v>1.4315631390515384E-2</v>
      </c>
      <c r="D32">
        <f t="shared" si="8"/>
        <v>0</v>
      </c>
      <c r="E32">
        <f t="shared" si="9"/>
        <v>0</v>
      </c>
      <c r="G32" t="s">
        <v>40</v>
      </c>
      <c r="H32">
        <v>2</v>
      </c>
      <c r="I32">
        <v>224</v>
      </c>
      <c r="J32">
        <v>3192</v>
      </c>
      <c r="K32">
        <v>3</v>
      </c>
      <c r="L32">
        <v>6</v>
      </c>
      <c r="M32">
        <v>30</v>
      </c>
      <c r="N32" t="s">
        <v>20</v>
      </c>
      <c r="O32" t="b">
        <v>1</v>
      </c>
      <c r="P32">
        <v>0.5</v>
      </c>
      <c r="Q32" t="b">
        <v>0</v>
      </c>
      <c r="R32">
        <v>12089.3642626613</v>
      </c>
      <c r="S32">
        <v>15294.8373362573</v>
      </c>
      <c r="T32">
        <v>12091.128377991699</v>
      </c>
      <c r="U32">
        <v>12091.094931486599</v>
      </c>
      <c r="V32">
        <v>0</v>
      </c>
      <c r="W32">
        <v>136716</v>
      </c>
      <c r="X32">
        <v>3600.08867406845</v>
      </c>
      <c r="Y32">
        <v>3600</v>
      </c>
      <c r="AC32" t="s">
        <v>40</v>
      </c>
      <c r="AD32">
        <v>2</v>
      </c>
      <c r="AE32">
        <v>224</v>
      </c>
      <c r="AF32">
        <v>3192</v>
      </c>
      <c r="AG32">
        <v>3</v>
      </c>
      <c r="AH32">
        <v>6</v>
      </c>
      <c r="AI32">
        <v>30</v>
      </c>
      <c r="AJ32" t="s">
        <v>20</v>
      </c>
      <c r="AK32" t="b">
        <v>1</v>
      </c>
      <c r="AL32">
        <v>0.5</v>
      </c>
      <c r="AM32" t="b">
        <v>1</v>
      </c>
      <c r="AN32">
        <v>12089.3642626613</v>
      </c>
      <c r="AO32">
        <v>14211.9285059502</v>
      </c>
      <c r="AP32">
        <v>12091.0973772426</v>
      </c>
      <c r="AQ32">
        <v>12091.094931486599</v>
      </c>
      <c r="AR32">
        <v>0</v>
      </c>
      <c r="AS32">
        <v>14919</v>
      </c>
      <c r="AT32">
        <v>3600.2128911018299</v>
      </c>
      <c r="AU32">
        <v>3600</v>
      </c>
    </row>
    <row r="33" spans="1:47" x14ac:dyDescent="0.35">
      <c r="A33">
        <f t="shared" si="5"/>
        <v>25.05318799355943</v>
      </c>
      <c r="B33">
        <f t="shared" si="6"/>
        <v>15.783353747426512</v>
      </c>
      <c r="C33">
        <f t="shared" si="7"/>
        <v>0</v>
      </c>
      <c r="D33">
        <f t="shared" si="8"/>
        <v>0</v>
      </c>
      <c r="E33">
        <f t="shared" si="9"/>
        <v>0</v>
      </c>
      <c r="G33" t="s">
        <v>40</v>
      </c>
      <c r="H33">
        <v>2</v>
      </c>
      <c r="I33">
        <v>224</v>
      </c>
      <c r="J33">
        <v>3192</v>
      </c>
      <c r="K33">
        <v>3</v>
      </c>
      <c r="L33">
        <v>6</v>
      </c>
      <c r="M33">
        <v>31</v>
      </c>
      <c r="N33" t="s">
        <v>20</v>
      </c>
      <c r="O33" t="b">
        <v>1</v>
      </c>
      <c r="P33">
        <v>0.5</v>
      </c>
      <c r="Q33" t="b">
        <v>0</v>
      </c>
      <c r="R33">
        <v>12036.2854843284</v>
      </c>
      <c r="S33">
        <v>15051.758714158699</v>
      </c>
      <c r="T33">
        <v>12036.2854843284</v>
      </c>
      <c r="U33">
        <v>12036.2854843284</v>
      </c>
      <c r="V33">
        <v>0</v>
      </c>
      <c r="W33">
        <v>127847</v>
      </c>
      <c r="X33">
        <v>3600.1030719280202</v>
      </c>
      <c r="Y33">
        <v>3600</v>
      </c>
      <c r="AC33" t="s">
        <v>40</v>
      </c>
      <c r="AD33">
        <v>2</v>
      </c>
      <c r="AE33">
        <v>224</v>
      </c>
      <c r="AF33">
        <v>3192</v>
      </c>
      <c r="AG33">
        <v>3</v>
      </c>
      <c r="AH33">
        <v>6</v>
      </c>
      <c r="AI33">
        <v>31</v>
      </c>
      <c r="AJ33" t="s">
        <v>20</v>
      </c>
      <c r="AK33" t="b">
        <v>1</v>
      </c>
      <c r="AL33">
        <v>0.5</v>
      </c>
      <c r="AM33" t="b">
        <v>1</v>
      </c>
      <c r="AN33">
        <v>12036.2854843284</v>
      </c>
      <c r="AO33">
        <v>13936.0150003701</v>
      </c>
      <c r="AP33">
        <v>12036.2854843284</v>
      </c>
      <c r="AQ33">
        <v>12036.2854843284</v>
      </c>
      <c r="AR33">
        <v>0</v>
      </c>
      <c r="AS33">
        <v>20920</v>
      </c>
      <c r="AT33">
        <v>3600.22325611114</v>
      </c>
      <c r="AU33">
        <v>3600</v>
      </c>
    </row>
    <row r="34" spans="1:47" x14ac:dyDescent="0.35">
      <c r="A34">
        <f t="shared" si="5"/>
        <v>26.526302704616505</v>
      </c>
      <c r="B34">
        <f t="shared" si="6"/>
        <v>17.395865166392849</v>
      </c>
      <c r="C34">
        <f t="shared" si="7"/>
        <v>4.0470971415929771E-2</v>
      </c>
      <c r="D34">
        <f t="shared" si="8"/>
        <v>0</v>
      </c>
      <c r="E34">
        <f t="shared" si="9"/>
        <v>0</v>
      </c>
      <c r="G34" t="s">
        <v>40</v>
      </c>
      <c r="H34">
        <v>2</v>
      </c>
      <c r="I34">
        <v>224</v>
      </c>
      <c r="J34">
        <v>3192</v>
      </c>
      <c r="K34">
        <v>3</v>
      </c>
      <c r="L34">
        <v>6</v>
      </c>
      <c r="M34">
        <v>32</v>
      </c>
      <c r="N34" t="s">
        <v>20</v>
      </c>
      <c r="O34" t="b">
        <v>1</v>
      </c>
      <c r="P34">
        <v>0.5</v>
      </c>
      <c r="Q34" t="b">
        <v>0</v>
      </c>
      <c r="R34">
        <v>12057.0187222635</v>
      </c>
      <c r="S34">
        <v>15255.300005683401</v>
      </c>
      <c r="T34">
        <v>12057.0798196055</v>
      </c>
      <c r="U34">
        <v>12057.0187222635</v>
      </c>
      <c r="V34">
        <v>0</v>
      </c>
      <c r="W34">
        <v>530115</v>
      </c>
      <c r="X34">
        <v>3600.21222805976</v>
      </c>
      <c r="Y34">
        <v>3600</v>
      </c>
      <c r="AC34" t="s">
        <v>40</v>
      </c>
      <c r="AD34">
        <v>2</v>
      </c>
      <c r="AE34">
        <v>224</v>
      </c>
      <c r="AF34">
        <v>3192</v>
      </c>
      <c r="AG34">
        <v>3</v>
      </c>
      <c r="AH34">
        <v>6</v>
      </c>
      <c r="AI34">
        <v>32</v>
      </c>
      <c r="AJ34" t="s">
        <v>20</v>
      </c>
      <c r="AK34" t="b">
        <v>1</v>
      </c>
      <c r="AL34">
        <v>0.5</v>
      </c>
      <c r="AM34" t="b">
        <v>1</v>
      </c>
      <c r="AN34">
        <v>12057.0187222635</v>
      </c>
      <c r="AO34">
        <v>14154.4414422752</v>
      </c>
      <c r="AP34">
        <v>12061.959412206201</v>
      </c>
      <c r="AQ34">
        <v>12061.8983148642</v>
      </c>
      <c r="AR34">
        <v>0</v>
      </c>
      <c r="AS34">
        <v>15173</v>
      </c>
      <c r="AT34">
        <v>3600.32671499252</v>
      </c>
      <c r="AU34">
        <v>3600</v>
      </c>
    </row>
    <row r="35" spans="1:47" x14ac:dyDescent="0.35">
      <c r="A35">
        <f t="shared" si="5"/>
        <v>25.841537638665525</v>
      </c>
      <c r="B35">
        <f t="shared" si="6"/>
        <v>16.850015105279983</v>
      </c>
      <c r="C35">
        <f t="shared" si="7"/>
        <v>0.26882206971327921</v>
      </c>
      <c r="D35">
        <f t="shared" si="8"/>
        <v>0</v>
      </c>
      <c r="E35">
        <f t="shared" si="9"/>
        <v>0</v>
      </c>
      <c r="G35" t="s">
        <v>40</v>
      </c>
      <c r="H35">
        <v>2</v>
      </c>
      <c r="I35">
        <v>224</v>
      </c>
      <c r="J35">
        <v>3192</v>
      </c>
      <c r="K35">
        <v>3</v>
      </c>
      <c r="L35">
        <v>6</v>
      </c>
      <c r="M35">
        <v>33</v>
      </c>
      <c r="N35" t="s">
        <v>20</v>
      </c>
      <c r="O35" t="b">
        <v>1</v>
      </c>
      <c r="P35">
        <v>0.5</v>
      </c>
      <c r="Q35" t="b">
        <v>0</v>
      </c>
      <c r="R35">
        <v>12152.0603426057</v>
      </c>
      <c r="S35">
        <v>15292.339589913499</v>
      </c>
      <c r="T35">
        <v>12183.728942126199</v>
      </c>
      <c r="U35">
        <v>12183.7038824544</v>
      </c>
      <c r="V35">
        <v>0</v>
      </c>
      <c r="W35">
        <v>85317</v>
      </c>
      <c r="X35">
        <v>3600.1397371292101</v>
      </c>
      <c r="Y35">
        <v>3600</v>
      </c>
      <c r="AC35" t="s">
        <v>40</v>
      </c>
      <c r="AD35">
        <v>2</v>
      </c>
      <c r="AE35">
        <v>224</v>
      </c>
      <c r="AF35">
        <v>3192</v>
      </c>
      <c r="AG35">
        <v>3</v>
      </c>
      <c r="AH35">
        <v>6</v>
      </c>
      <c r="AI35">
        <v>33</v>
      </c>
      <c r="AJ35" t="s">
        <v>20</v>
      </c>
      <c r="AK35" t="b">
        <v>1</v>
      </c>
      <c r="AL35">
        <v>0.5</v>
      </c>
      <c r="AM35" t="b">
        <v>1</v>
      </c>
      <c r="AN35">
        <v>12152.0603426057</v>
      </c>
      <c r="AO35">
        <v>14199.6843459375</v>
      </c>
      <c r="AP35">
        <v>12184.738286628201</v>
      </c>
      <c r="AQ35">
        <v>12184.7277627315</v>
      </c>
      <c r="AR35">
        <v>0</v>
      </c>
      <c r="AS35">
        <v>15170</v>
      </c>
      <c r="AT35">
        <v>3600.3162779807999</v>
      </c>
      <c r="AU35">
        <v>3600</v>
      </c>
    </row>
    <row r="36" spans="1:47" x14ac:dyDescent="0.35">
      <c r="A36">
        <f t="shared" si="5"/>
        <v>27.546315263255117</v>
      </c>
      <c r="B36">
        <f t="shared" si="6"/>
        <v>17.780862597086518</v>
      </c>
      <c r="C36">
        <f t="shared" si="7"/>
        <v>3.4210461931238399E-3</v>
      </c>
      <c r="D36">
        <f t="shared" si="8"/>
        <v>0</v>
      </c>
      <c r="E36">
        <f t="shared" si="9"/>
        <v>0</v>
      </c>
      <c r="G36" t="s">
        <v>40</v>
      </c>
      <c r="H36">
        <v>2</v>
      </c>
      <c r="I36">
        <v>224</v>
      </c>
      <c r="J36">
        <v>3192</v>
      </c>
      <c r="K36">
        <v>3</v>
      </c>
      <c r="L36">
        <v>6</v>
      </c>
      <c r="M36">
        <v>34</v>
      </c>
      <c r="N36" t="s">
        <v>20</v>
      </c>
      <c r="O36" t="b">
        <v>1</v>
      </c>
      <c r="P36">
        <v>0.5</v>
      </c>
      <c r="Q36" t="b">
        <v>0</v>
      </c>
      <c r="R36">
        <v>12114.2839823128</v>
      </c>
      <c r="S36">
        <v>15451.3228399667</v>
      </c>
      <c r="T36">
        <v>12114.7343613065</v>
      </c>
      <c r="U36">
        <v>12114.698417563801</v>
      </c>
      <c r="V36">
        <v>0</v>
      </c>
      <c r="W36">
        <v>224794</v>
      </c>
      <c r="X36">
        <v>3600.1143929958298</v>
      </c>
      <c r="Y36">
        <v>3600</v>
      </c>
      <c r="AC36" t="s">
        <v>40</v>
      </c>
      <c r="AD36">
        <v>2</v>
      </c>
      <c r="AE36">
        <v>224</v>
      </c>
      <c r="AF36">
        <v>3192</v>
      </c>
      <c r="AG36">
        <v>3</v>
      </c>
      <c r="AH36">
        <v>6</v>
      </c>
      <c r="AI36">
        <v>34</v>
      </c>
      <c r="AJ36" t="s">
        <v>20</v>
      </c>
      <c r="AK36" t="b">
        <v>1</v>
      </c>
      <c r="AL36">
        <v>0.5</v>
      </c>
      <c r="AM36" t="b">
        <v>1</v>
      </c>
      <c r="AN36">
        <v>12114.2839823128</v>
      </c>
      <c r="AO36">
        <v>14268.308171828699</v>
      </c>
      <c r="AP36">
        <v>12114.714530200499</v>
      </c>
      <c r="AQ36">
        <v>12114.698417563801</v>
      </c>
      <c r="AR36">
        <v>0</v>
      </c>
      <c r="AS36">
        <v>33476</v>
      </c>
      <c r="AT36">
        <v>3600.16949796676</v>
      </c>
      <c r="AU36">
        <v>3600</v>
      </c>
    </row>
    <row r="37" spans="1:47" x14ac:dyDescent="0.35">
      <c r="A37">
        <f t="shared" si="5"/>
        <v>25.192185903690373</v>
      </c>
      <c r="B37">
        <f t="shared" si="6"/>
        <v>16.357525980223414</v>
      </c>
      <c r="C37">
        <f t="shared" si="7"/>
        <v>5.2831886546831554E-2</v>
      </c>
      <c r="D37">
        <f t="shared" si="8"/>
        <v>0</v>
      </c>
      <c r="E37">
        <f t="shared" si="9"/>
        <v>0</v>
      </c>
      <c r="G37" t="s">
        <v>40</v>
      </c>
      <c r="H37">
        <v>2</v>
      </c>
      <c r="I37">
        <v>224</v>
      </c>
      <c r="J37">
        <v>3192</v>
      </c>
      <c r="K37">
        <v>3</v>
      </c>
      <c r="L37">
        <v>6</v>
      </c>
      <c r="M37">
        <v>35</v>
      </c>
      <c r="N37" t="s">
        <v>20</v>
      </c>
      <c r="O37" t="b">
        <v>1</v>
      </c>
      <c r="P37">
        <v>0.5</v>
      </c>
      <c r="Q37" t="b">
        <v>0</v>
      </c>
      <c r="R37">
        <v>12185.255904865</v>
      </c>
      <c r="S37">
        <v>15254.988225259</v>
      </c>
      <c r="T37">
        <v>12191.7401103465</v>
      </c>
      <c r="U37">
        <v>12191.693605440099</v>
      </c>
      <c r="V37">
        <v>0</v>
      </c>
      <c r="W37">
        <v>191803</v>
      </c>
      <c r="X37">
        <v>3600.1476609706801</v>
      </c>
      <c r="Y37">
        <v>3600</v>
      </c>
      <c r="AC37" t="s">
        <v>40</v>
      </c>
      <c r="AD37">
        <v>2</v>
      </c>
      <c r="AE37">
        <v>224</v>
      </c>
      <c r="AF37">
        <v>3192</v>
      </c>
      <c r="AG37">
        <v>3</v>
      </c>
      <c r="AH37">
        <v>6</v>
      </c>
      <c r="AI37">
        <v>35</v>
      </c>
      <c r="AJ37" t="s">
        <v>20</v>
      </c>
      <c r="AK37" t="b">
        <v>1</v>
      </c>
      <c r="AL37">
        <v>0.5</v>
      </c>
      <c r="AM37" t="b">
        <v>1</v>
      </c>
      <c r="AN37">
        <v>12185.255904865</v>
      </c>
      <c r="AO37">
        <v>14178.46230526</v>
      </c>
      <c r="AP37">
        <v>12191.7401103464</v>
      </c>
      <c r="AQ37">
        <v>12191.693605440099</v>
      </c>
      <c r="AR37">
        <v>0</v>
      </c>
      <c r="AS37">
        <v>20286</v>
      </c>
      <c r="AT37">
        <v>3600.1733710765802</v>
      </c>
      <c r="AU37">
        <v>3600</v>
      </c>
    </row>
    <row r="38" spans="1:47" x14ac:dyDescent="0.35">
      <c r="A38">
        <f t="shared" si="5"/>
        <v>24.316355355775059</v>
      </c>
      <c r="B38">
        <f t="shared" si="6"/>
        <v>17.907987553343162</v>
      </c>
      <c r="C38">
        <f t="shared" si="7"/>
        <v>6.6276654754799533E-2</v>
      </c>
      <c r="D38">
        <f t="shared" si="8"/>
        <v>0</v>
      </c>
      <c r="E38">
        <f t="shared" si="9"/>
        <v>0</v>
      </c>
      <c r="G38" t="s">
        <v>40</v>
      </c>
      <c r="H38">
        <v>2</v>
      </c>
      <c r="I38">
        <v>224</v>
      </c>
      <c r="J38">
        <v>3192</v>
      </c>
      <c r="K38">
        <v>3</v>
      </c>
      <c r="L38">
        <v>6</v>
      </c>
      <c r="M38">
        <v>36</v>
      </c>
      <c r="N38" t="s">
        <v>20</v>
      </c>
      <c r="O38" t="b">
        <v>1</v>
      </c>
      <c r="P38">
        <v>0.5</v>
      </c>
      <c r="Q38" t="b">
        <v>0</v>
      </c>
      <c r="R38">
        <v>12074.6878171608</v>
      </c>
      <c r="S38">
        <v>15010.811814882099</v>
      </c>
      <c r="T38">
        <v>12076.5648417475</v>
      </c>
      <c r="U38">
        <v>12076.462896799399</v>
      </c>
      <c r="V38">
        <v>0</v>
      </c>
      <c r="W38">
        <v>826733</v>
      </c>
      <c r="X38">
        <v>3600.2474379539399</v>
      </c>
      <c r="Y38">
        <v>3600</v>
      </c>
      <c r="AC38" t="s">
        <v>40</v>
      </c>
      <c r="AD38">
        <v>2</v>
      </c>
      <c r="AE38">
        <v>224</v>
      </c>
      <c r="AF38">
        <v>3192</v>
      </c>
      <c r="AG38">
        <v>3</v>
      </c>
      <c r="AH38">
        <v>6</v>
      </c>
      <c r="AI38">
        <v>36</v>
      </c>
      <c r="AJ38" t="s">
        <v>20</v>
      </c>
      <c r="AK38" t="b">
        <v>1</v>
      </c>
      <c r="AL38">
        <v>0.5</v>
      </c>
      <c r="AM38" t="b">
        <v>1</v>
      </c>
      <c r="AN38">
        <v>12074.6878171608</v>
      </c>
      <c r="AO38">
        <v>14237.021408563</v>
      </c>
      <c r="AP38">
        <v>12082.7442407577</v>
      </c>
      <c r="AQ38">
        <v>12082.6905163181</v>
      </c>
      <c r="AR38">
        <v>0</v>
      </c>
      <c r="AS38">
        <v>9032</v>
      </c>
      <c r="AT38">
        <v>3600.1628429889602</v>
      </c>
      <c r="AU38">
        <v>3600</v>
      </c>
    </row>
    <row r="39" spans="1:47" x14ac:dyDescent="0.35">
      <c r="A39">
        <f t="shared" si="5"/>
        <v>23.627640885983926</v>
      </c>
      <c r="B39">
        <f t="shared" si="6"/>
        <v>16.167722431903496</v>
      </c>
      <c r="C39">
        <f t="shared" si="7"/>
        <v>0</v>
      </c>
      <c r="D39">
        <f t="shared" si="8"/>
        <v>0</v>
      </c>
      <c r="E39">
        <f t="shared" si="9"/>
        <v>0</v>
      </c>
      <c r="G39" t="s">
        <v>40</v>
      </c>
      <c r="H39">
        <v>2</v>
      </c>
      <c r="I39">
        <v>224</v>
      </c>
      <c r="J39">
        <v>3192</v>
      </c>
      <c r="K39">
        <v>3</v>
      </c>
      <c r="L39">
        <v>6</v>
      </c>
      <c r="M39">
        <v>37</v>
      </c>
      <c r="N39" t="s">
        <v>20</v>
      </c>
      <c r="O39" t="b">
        <v>1</v>
      </c>
      <c r="P39">
        <v>0.5</v>
      </c>
      <c r="Q39" t="b">
        <v>0</v>
      </c>
      <c r="R39">
        <v>12145.2199072434</v>
      </c>
      <c r="S39">
        <v>15014.8488517399</v>
      </c>
      <c r="T39">
        <v>12145.245437518301</v>
      </c>
      <c r="U39">
        <v>12145.2199072434</v>
      </c>
      <c r="V39">
        <v>0</v>
      </c>
      <c r="W39">
        <v>471330</v>
      </c>
      <c r="X39">
        <v>3600.18633794784</v>
      </c>
      <c r="Y39">
        <v>3600</v>
      </c>
      <c r="AC39" t="s">
        <v>40</v>
      </c>
      <c r="AD39">
        <v>2</v>
      </c>
      <c r="AE39">
        <v>224</v>
      </c>
      <c r="AF39">
        <v>3192</v>
      </c>
      <c r="AG39">
        <v>3</v>
      </c>
      <c r="AH39">
        <v>6</v>
      </c>
      <c r="AI39">
        <v>37</v>
      </c>
      <c r="AJ39" t="s">
        <v>20</v>
      </c>
      <c r="AK39" t="b">
        <v>1</v>
      </c>
      <c r="AL39">
        <v>0.5</v>
      </c>
      <c r="AM39" t="b">
        <v>1</v>
      </c>
      <c r="AN39">
        <v>12145.2199072434</v>
      </c>
      <c r="AO39">
        <v>14108.8253505908</v>
      </c>
      <c r="AP39">
        <v>12145.243659629999</v>
      </c>
      <c r="AQ39">
        <v>12145.2199072434</v>
      </c>
      <c r="AR39">
        <v>0</v>
      </c>
      <c r="AS39">
        <v>16123</v>
      </c>
      <c r="AT39">
        <v>3600.2412800788802</v>
      </c>
      <c r="AU39">
        <v>3600</v>
      </c>
    </row>
    <row r="40" spans="1:47" x14ac:dyDescent="0.35">
      <c r="A40">
        <f t="shared" si="5"/>
        <v>28.043686120679279</v>
      </c>
      <c r="B40">
        <f t="shared" si="6"/>
        <v>17.011694953115907</v>
      </c>
      <c r="C40">
        <f t="shared" si="7"/>
        <v>1.6140457093832668E-2</v>
      </c>
      <c r="D40">
        <f t="shared" si="8"/>
        <v>0</v>
      </c>
      <c r="E40">
        <f t="shared" si="9"/>
        <v>0</v>
      </c>
      <c r="G40" t="s">
        <v>40</v>
      </c>
      <c r="H40">
        <v>2</v>
      </c>
      <c r="I40">
        <v>224</v>
      </c>
      <c r="J40">
        <v>3192</v>
      </c>
      <c r="K40">
        <v>3</v>
      </c>
      <c r="L40">
        <v>6</v>
      </c>
      <c r="M40">
        <v>38</v>
      </c>
      <c r="N40" t="s">
        <v>20</v>
      </c>
      <c r="O40" t="b">
        <v>1</v>
      </c>
      <c r="P40">
        <v>0.5</v>
      </c>
      <c r="Q40" t="b">
        <v>0</v>
      </c>
      <c r="R40">
        <v>12108.481566775399</v>
      </c>
      <c r="S40">
        <v>15504.146131342201</v>
      </c>
      <c r="T40">
        <v>12110.4752119886</v>
      </c>
      <c r="U40">
        <v>12110.435931047399</v>
      </c>
      <c r="V40">
        <v>0</v>
      </c>
      <c r="W40">
        <v>369968</v>
      </c>
      <c r="X40">
        <v>3600.13962197303</v>
      </c>
      <c r="Y40">
        <v>3600</v>
      </c>
      <c r="AC40" t="s">
        <v>40</v>
      </c>
      <c r="AD40">
        <v>2</v>
      </c>
      <c r="AE40">
        <v>224</v>
      </c>
      <c r="AF40">
        <v>3192</v>
      </c>
      <c r="AG40">
        <v>3</v>
      </c>
      <c r="AH40">
        <v>6</v>
      </c>
      <c r="AI40">
        <v>38</v>
      </c>
      <c r="AJ40" t="s">
        <v>20</v>
      </c>
      <c r="AK40" t="b">
        <v>1</v>
      </c>
      <c r="AL40">
        <v>0.5</v>
      </c>
      <c r="AM40" t="b">
        <v>1</v>
      </c>
      <c r="AN40">
        <v>12108.481566775399</v>
      </c>
      <c r="AO40">
        <v>14168.3395143695</v>
      </c>
      <c r="AP40">
        <v>12110.4844461016</v>
      </c>
      <c r="AQ40">
        <v>12110.435931047399</v>
      </c>
      <c r="AR40">
        <v>0</v>
      </c>
      <c r="AS40">
        <v>10120</v>
      </c>
      <c r="AT40">
        <v>3600.0910670757198</v>
      </c>
      <c r="AU40">
        <v>3600</v>
      </c>
    </row>
    <row r="41" spans="1:47" x14ac:dyDescent="0.35">
      <c r="A41">
        <f t="shared" si="5"/>
        <v>30.83050190273438</v>
      </c>
      <c r="B41">
        <f t="shared" si="6"/>
        <v>16.350576476759365</v>
      </c>
      <c r="C41">
        <f t="shared" si="7"/>
        <v>0</v>
      </c>
      <c r="D41">
        <f t="shared" si="8"/>
        <v>0</v>
      </c>
      <c r="E41">
        <f t="shared" si="9"/>
        <v>0</v>
      </c>
      <c r="G41" t="s">
        <v>40</v>
      </c>
      <c r="H41">
        <v>2</v>
      </c>
      <c r="I41">
        <v>224</v>
      </c>
      <c r="J41">
        <v>3192</v>
      </c>
      <c r="K41">
        <v>3</v>
      </c>
      <c r="L41">
        <v>6</v>
      </c>
      <c r="M41">
        <v>39</v>
      </c>
      <c r="N41" t="s">
        <v>20</v>
      </c>
      <c r="O41" t="b">
        <v>1</v>
      </c>
      <c r="P41">
        <v>0.5</v>
      </c>
      <c r="Q41" t="b">
        <v>0</v>
      </c>
      <c r="R41">
        <v>12129.118256003299</v>
      </c>
      <c r="S41">
        <v>15868.5862907053</v>
      </c>
      <c r="T41">
        <v>12129.1521551142</v>
      </c>
      <c r="U41">
        <v>12129.118256003299</v>
      </c>
      <c r="V41">
        <v>0</v>
      </c>
      <c r="W41">
        <v>283400</v>
      </c>
      <c r="X41">
        <v>3600.1097199916799</v>
      </c>
      <c r="Y41">
        <v>3600</v>
      </c>
      <c r="AC41" t="s">
        <v>40</v>
      </c>
      <c r="AD41">
        <v>2</v>
      </c>
      <c r="AE41">
        <v>224</v>
      </c>
      <c r="AF41">
        <v>3192</v>
      </c>
      <c r="AG41">
        <v>3</v>
      </c>
      <c r="AH41">
        <v>6</v>
      </c>
      <c r="AI41">
        <v>39</v>
      </c>
      <c r="AJ41" t="s">
        <v>20</v>
      </c>
      <c r="AK41" t="b">
        <v>1</v>
      </c>
      <c r="AL41">
        <v>0.5</v>
      </c>
      <c r="AM41" t="b">
        <v>1</v>
      </c>
      <c r="AN41">
        <v>12129.118256003299</v>
      </c>
      <c r="AO41">
        <v>14112.299012407701</v>
      </c>
      <c r="AP41">
        <v>12129.1182619833</v>
      </c>
      <c r="AQ41">
        <v>12129.118256003299</v>
      </c>
      <c r="AR41">
        <v>0</v>
      </c>
      <c r="AS41">
        <v>20618</v>
      </c>
      <c r="AT41">
        <v>3600.2705750465302</v>
      </c>
      <c r="AU41">
        <v>3600</v>
      </c>
    </row>
    <row r="42" spans="1:47" x14ac:dyDescent="0.35">
      <c r="A42">
        <f t="shared" si="5"/>
        <v>27.148637100399153</v>
      </c>
      <c r="B42">
        <f t="shared" si="6"/>
        <v>17.580445956938636</v>
      </c>
      <c r="C42">
        <f t="shared" si="7"/>
        <v>2.6200813354303496E-2</v>
      </c>
      <c r="D42">
        <f t="shared" si="8"/>
        <v>0</v>
      </c>
      <c r="E42">
        <f t="shared" si="9"/>
        <v>0</v>
      </c>
      <c r="G42" t="s">
        <v>40</v>
      </c>
      <c r="H42">
        <v>2</v>
      </c>
      <c r="I42">
        <v>224</v>
      </c>
      <c r="J42">
        <v>3192</v>
      </c>
      <c r="K42">
        <v>3</v>
      </c>
      <c r="L42">
        <v>6</v>
      </c>
      <c r="M42">
        <v>40</v>
      </c>
      <c r="N42" t="s">
        <v>20</v>
      </c>
      <c r="O42" t="b">
        <v>1</v>
      </c>
      <c r="P42">
        <v>0.5</v>
      </c>
      <c r="Q42" t="b">
        <v>0</v>
      </c>
      <c r="R42">
        <v>12151.3479201838</v>
      </c>
      <c r="S42">
        <v>15450.2732698414</v>
      </c>
      <c r="T42">
        <v>12154.566716876499</v>
      </c>
      <c r="U42">
        <v>12154.531672172399</v>
      </c>
      <c r="V42">
        <v>0</v>
      </c>
      <c r="W42">
        <v>254178</v>
      </c>
      <c r="X42">
        <v>3600.0969839096001</v>
      </c>
      <c r="Y42">
        <v>3600</v>
      </c>
      <c r="AC42" t="s">
        <v>40</v>
      </c>
      <c r="AD42">
        <v>2</v>
      </c>
      <c r="AE42">
        <v>224</v>
      </c>
      <c r="AF42">
        <v>3192</v>
      </c>
      <c r="AG42">
        <v>3</v>
      </c>
      <c r="AH42">
        <v>6</v>
      </c>
      <c r="AI42">
        <v>40</v>
      </c>
      <c r="AJ42" t="s">
        <v>20</v>
      </c>
      <c r="AK42" t="b">
        <v>1</v>
      </c>
      <c r="AL42">
        <v>0.5</v>
      </c>
      <c r="AM42" t="b">
        <v>1</v>
      </c>
      <c r="AN42">
        <v>12151.3479201838</v>
      </c>
      <c r="AO42">
        <v>14287.6090743313</v>
      </c>
      <c r="AP42">
        <v>12154.5610517197</v>
      </c>
      <c r="AQ42">
        <v>12154.531672172399</v>
      </c>
      <c r="AR42">
        <v>0</v>
      </c>
      <c r="AS42">
        <v>39289</v>
      </c>
      <c r="AT42">
        <v>3600.2264652252102</v>
      </c>
      <c r="AU42">
        <v>3600</v>
      </c>
    </row>
    <row r="43" spans="1:47" x14ac:dyDescent="0.35">
      <c r="A43">
        <f t="shared" si="5"/>
        <v>25.511237599727583</v>
      </c>
      <c r="B43">
        <f t="shared" si="6"/>
        <v>16.831727045187009</v>
      </c>
      <c r="C43">
        <f t="shared" si="7"/>
        <v>1.7647370696712895E-3</v>
      </c>
      <c r="D43">
        <f t="shared" si="8"/>
        <v>0</v>
      </c>
      <c r="E43">
        <f t="shared" si="9"/>
        <v>0</v>
      </c>
      <c r="G43" t="s">
        <v>40</v>
      </c>
      <c r="H43">
        <v>2</v>
      </c>
      <c r="I43">
        <v>224</v>
      </c>
      <c r="J43">
        <v>3192</v>
      </c>
      <c r="K43">
        <v>3</v>
      </c>
      <c r="L43">
        <v>6</v>
      </c>
      <c r="M43">
        <v>41</v>
      </c>
      <c r="N43" t="s">
        <v>20</v>
      </c>
      <c r="O43" t="b">
        <v>1</v>
      </c>
      <c r="P43">
        <v>0.5</v>
      </c>
      <c r="Q43" t="b">
        <v>0</v>
      </c>
      <c r="R43">
        <v>12194.435669734899</v>
      </c>
      <c r="S43">
        <v>15305.387127386901</v>
      </c>
      <c r="T43">
        <v>12194.542392028299</v>
      </c>
      <c r="U43">
        <v>12194.435669734899</v>
      </c>
      <c r="V43">
        <v>0</v>
      </c>
      <c r="W43">
        <v>40667</v>
      </c>
      <c r="X43">
        <v>3600.0483410358402</v>
      </c>
      <c r="Y43">
        <v>3600</v>
      </c>
      <c r="AC43" t="s">
        <v>40</v>
      </c>
      <c r="AD43">
        <v>2</v>
      </c>
      <c r="AE43">
        <v>224</v>
      </c>
      <c r="AF43">
        <v>3192</v>
      </c>
      <c r="AG43">
        <v>3</v>
      </c>
      <c r="AH43">
        <v>6</v>
      </c>
      <c r="AI43">
        <v>41</v>
      </c>
      <c r="AJ43" t="s">
        <v>20</v>
      </c>
      <c r="AK43" t="b">
        <v>1</v>
      </c>
      <c r="AL43">
        <v>0.5</v>
      </c>
      <c r="AM43" t="b">
        <v>1</v>
      </c>
      <c r="AN43">
        <v>12194.435669734899</v>
      </c>
      <c r="AO43">
        <v>14246.9697963656</v>
      </c>
      <c r="AP43">
        <v>12194.696169434899</v>
      </c>
      <c r="AQ43">
        <v>12194.6508694616</v>
      </c>
      <c r="AR43">
        <v>0</v>
      </c>
      <c r="AS43">
        <v>13867</v>
      </c>
      <c r="AT43">
        <v>3600.2385010719299</v>
      </c>
      <c r="AU43">
        <v>3600</v>
      </c>
    </row>
    <row r="44" spans="1:47" x14ac:dyDescent="0.35">
      <c r="A44">
        <f t="shared" si="5"/>
        <v>28.444352260557647</v>
      </c>
      <c r="B44">
        <f t="shared" si="6"/>
        <v>16.50864132020909</v>
      </c>
      <c r="C44">
        <f t="shared" si="7"/>
        <v>8.1381520997409085E-2</v>
      </c>
      <c r="D44">
        <f t="shared" si="8"/>
        <v>0</v>
      </c>
      <c r="E44">
        <f t="shared" si="9"/>
        <v>0</v>
      </c>
      <c r="G44" t="s">
        <v>40</v>
      </c>
      <c r="H44">
        <v>2</v>
      </c>
      <c r="I44">
        <v>224</v>
      </c>
      <c r="J44">
        <v>3192</v>
      </c>
      <c r="K44">
        <v>3</v>
      </c>
      <c r="L44">
        <v>6</v>
      </c>
      <c r="M44">
        <v>42</v>
      </c>
      <c r="N44" t="s">
        <v>20</v>
      </c>
      <c r="O44" t="b">
        <v>1</v>
      </c>
      <c r="P44">
        <v>0.5</v>
      </c>
      <c r="Q44" t="b">
        <v>0</v>
      </c>
      <c r="R44">
        <v>12050.6849482608</v>
      </c>
      <c r="S44">
        <v>15478.424224754101</v>
      </c>
      <c r="T44">
        <v>12060.5179510662</v>
      </c>
      <c r="U44">
        <v>12060.4919789623</v>
      </c>
      <c r="V44">
        <v>0</v>
      </c>
      <c r="W44">
        <v>133288</v>
      </c>
      <c r="X44">
        <v>3600.1831209659499</v>
      </c>
      <c r="Y44">
        <v>3600</v>
      </c>
      <c r="AC44" t="s">
        <v>40</v>
      </c>
      <c r="AD44">
        <v>2</v>
      </c>
      <c r="AE44">
        <v>224</v>
      </c>
      <c r="AF44">
        <v>3192</v>
      </c>
      <c r="AG44">
        <v>3</v>
      </c>
      <c r="AH44">
        <v>6</v>
      </c>
      <c r="AI44">
        <v>42</v>
      </c>
      <c r="AJ44" t="s">
        <v>20</v>
      </c>
      <c r="AK44" t="b">
        <v>1</v>
      </c>
      <c r="AL44">
        <v>0.5</v>
      </c>
      <c r="AM44" t="b">
        <v>1</v>
      </c>
      <c r="AN44">
        <v>12050.6849482608</v>
      </c>
      <c r="AO44">
        <v>14040.0893029976</v>
      </c>
      <c r="AP44">
        <v>12060.5155827824</v>
      </c>
      <c r="AQ44">
        <v>12060.4919789623</v>
      </c>
      <c r="AR44">
        <v>0</v>
      </c>
      <c r="AS44">
        <v>11659</v>
      </c>
      <c r="AT44">
        <v>3600.0664727687799</v>
      </c>
      <c r="AU44">
        <v>3600</v>
      </c>
    </row>
    <row r="45" spans="1:47" x14ac:dyDescent="0.35">
      <c r="A45">
        <f t="shared" si="5"/>
        <v>26.508677488351147</v>
      </c>
      <c r="B45">
        <f t="shared" si="6"/>
        <v>15.235773928294385</v>
      </c>
      <c r="C45">
        <f t="shared" si="7"/>
        <v>9.612677885465098E-4</v>
      </c>
      <c r="D45">
        <f t="shared" si="8"/>
        <v>0</v>
      </c>
      <c r="E45">
        <f t="shared" si="9"/>
        <v>0</v>
      </c>
      <c r="G45" t="s">
        <v>40</v>
      </c>
      <c r="H45">
        <v>2</v>
      </c>
      <c r="I45">
        <v>224</v>
      </c>
      <c r="J45">
        <v>3192</v>
      </c>
      <c r="K45">
        <v>3</v>
      </c>
      <c r="L45">
        <v>6</v>
      </c>
      <c r="M45">
        <v>43</v>
      </c>
      <c r="N45" t="s">
        <v>20</v>
      </c>
      <c r="O45" t="b">
        <v>1</v>
      </c>
      <c r="P45">
        <v>0.5</v>
      </c>
      <c r="Q45" t="b">
        <v>0</v>
      </c>
      <c r="R45">
        <v>12102.6851296449</v>
      </c>
      <c r="S45">
        <v>15310.9468980931</v>
      </c>
      <c r="T45">
        <v>12102.8192231594</v>
      </c>
      <c r="U45">
        <v>12102.801468858601</v>
      </c>
      <c r="V45">
        <v>0</v>
      </c>
      <c r="W45">
        <v>461641</v>
      </c>
      <c r="X45">
        <v>3600.1416370868601</v>
      </c>
      <c r="Y45">
        <v>3600</v>
      </c>
      <c r="AC45" t="s">
        <v>40</v>
      </c>
      <c r="AD45">
        <v>2</v>
      </c>
      <c r="AE45">
        <v>224</v>
      </c>
      <c r="AF45">
        <v>3192</v>
      </c>
      <c r="AG45">
        <v>3</v>
      </c>
      <c r="AH45">
        <v>6</v>
      </c>
      <c r="AI45">
        <v>43</v>
      </c>
      <c r="AJ45" t="s">
        <v>20</v>
      </c>
      <c r="AK45" t="b">
        <v>1</v>
      </c>
      <c r="AL45">
        <v>0.5</v>
      </c>
      <c r="AM45" t="b">
        <v>1</v>
      </c>
      <c r="AN45">
        <v>12102.6851296449</v>
      </c>
      <c r="AO45">
        <v>13946.6228752509</v>
      </c>
      <c r="AP45">
        <v>12102.801468858601</v>
      </c>
      <c r="AQ45">
        <v>12102.801468858601</v>
      </c>
      <c r="AR45">
        <v>0</v>
      </c>
      <c r="AS45">
        <v>17591</v>
      </c>
      <c r="AT45">
        <v>3600.08948612213</v>
      </c>
      <c r="AU45">
        <v>3600</v>
      </c>
    </row>
    <row r="46" spans="1:47" x14ac:dyDescent="0.35">
      <c r="A46">
        <f t="shared" si="5"/>
        <v>20.631058118778569</v>
      </c>
      <c r="B46">
        <f t="shared" si="6"/>
        <v>15.664495443482021</v>
      </c>
      <c r="C46">
        <f t="shared" si="7"/>
        <v>0.21484960680666201</v>
      </c>
      <c r="D46">
        <f t="shared" si="8"/>
        <v>0</v>
      </c>
      <c r="E46">
        <f t="shared" si="9"/>
        <v>0</v>
      </c>
      <c r="G46" t="s">
        <v>40</v>
      </c>
      <c r="H46">
        <v>2</v>
      </c>
      <c r="I46">
        <v>224</v>
      </c>
      <c r="J46">
        <v>3192</v>
      </c>
      <c r="K46">
        <v>3</v>
      </c>
      <c r="L46">
        <v>6</v>
      </c>
      <c r="M46">
        <v>44</v>
      </c>
      <c r="N46" t="s">
        <v>20</v>
      </c>
      <c r="O46" t="b">
        <v>1</v>
      </c>
      <c r="P46">
        <v>0.5</v>
      </c>
      <c r="Q46" t="b">
        <v>0</v>
      </c>
      <c r="R46">
        <v>12040.424851825601</v>
      </c>
      <c r="S46">
        <v>14524.491900753599</v>
      </c>
      <c r="T46">
        <v>12066.2936573241</v>
      </c>
      <c r="U46">
        <v>12066.2936572776</v>
      </c>
      <c r="V46">
        <v>0</v>
      </c>
      <c r="W46">
        <v>489784</v>
      </c>
      <c r="X46">
        <v>3600.1433169841698</v>
      </c>
      <c r="Y46">
        <v>3600</v>
      </c>
      <c r="AC46" t="s">
        <v>40</v>
      </c>
      <c r="AD46">
        <v>2</v>
      </c>
      <c r="AE46">
        <v>224</v>
      </c>
      <c r="AF46">
        <v>3192</v>
      </c>
      <c r="AG46">
        <v>3</v>
      </c>
      <c r="AH46">
        <v>6</v>
      </c>
      <c r="AI46">
        <v>44</v>
      </c>
      <c r="AJ46" t="s">
        <v>20</v>
      </c>
      <c r="AK46" t="b">
        <v>1</v>
      </c>
      <c r="AL46">
        <v>0.5</v>
      </c>
      <c r="AM46" t="b">
        <v>1</v>
      </c>
      <c r="AN46">
        <v>12040.424851825601</v>
      </c>
      <c r="AO46">
        <v>13926.496654115699</v>
      </c>
      <c r="AP46">
        <v>12066.2936572777</v>
      </c>
      <c r="AQ46">
        <v>12066.2936572776</v>
      </c>
      <c r="AR46">
        <v>0</v>
      </c>
      <c r="AS46">
        <v>7768</v>
      </c>
      <c r="AT46">
        <v>3600.0943450927698</v>
      </c>
      <c r="AU46">
        <v>3600</v>
      </c>
    </row>
    <row r="47" spans="1:47" x14ac:dyDescent="0.35">
      <c r="A47">
        <f t="shared" si="5"/>
        <v>30.036118089879089</v>
      </c>
      <c r="B47">
        <f t="shared" si="6"/>
        <v>17.088143319593652</v>
      </c>
      <c r="C47">
        <f t="shared" si="7"/>
        <v>0</v>
      </c>
      <c r="D47">
        <f t="shared" si="8"/>
        <v>0</v>
      </c>
      <c r="E47">
        <f t="shared" si="9"/>
        <v>0</v>
      </c>
      <c r="G47" t="s">
        <v>40</v>
      </c>
      <c r="H47">
        <v>2</v>
      </c>
      <c r="I47">
        <v>224</v>
      </c>
      <c r="J47">
        <v>3192</v>
      </c>
      <c r="K47">
        <v>3</v>
      </c>
      <c r="L47">
        <v>6</v>
      </c>
      <c r="M47">
        <v>45</v>
      </c>
      <c r="N47" t="s">
        <v>20</v>
      </c>
      <c r="O47" t="b">
        <v>1</v>
      </c>
      <c r="P47">
        <v>0.5</v>
      </c>
      <c r="Q47" t="b">
        <v>0</v>
      </c>
      <c r="R47">
        <v>11993.8969689162</v>
      </c>
      <c r="S47">
        <v>15596.398026078299</v>
      </c>
      <c r="T47">
        <v>11993.9868246446</v>
      </c>
      <c r="U47">
        <v>11993.8969689162</v>
      </c>
      <c r="V47">
        <v>0</v>
      </c>
      <c r="W47">
        <v>108730</v>
      </c>
      <c r="X47">
        <v>3600.2163949012702</v>
      </c>
      <c r="Y47">
        <v>3600</v>
      </c>
      <c r="AC47" t="s">
        <v>40</v>
      </c>
      <c r="AD47">
        <v>2</v>
      </c>
      <c r="AE47">
        <v>224</v>
      </c>
      <c r="AF47">
        <v>3192</v>
      </c>
      <c r="AG47">
        <v>3</v>
      </c>
      <c r="AH47">
        <v>6</v>
      </c>
      <c r="AI47">
        <v>45</v>
      </c>
      <c r="AJ47" t="s">
        <v>20</v>
      </c>
      <c r="AK47" t="b">
        <v>1</v>
      </c>
      <c r="AL47">
        <v>0.5</v>
      </c>
      <c r="AM47" t="b">
        <v>1</v>
      </c>
      <c r="AN47">
        <v>11993.8969689162</v>
      </c>
      <c r="AO47">
        <v>14043.431272569</v>
      </c>
      <c r="AP47">
        <v>11993.926134093301</v>
      </c>
      <c r="AQ47">
        <v>11993.8969689162</v>
      </c>
      <c r="AR47">
        <v>0</v>
      </c>
      <c r="AS47">
        <v>9258</v>
      </c>
      <c r="AT47">
        <v>3600.3176350593499</v>
      </c>
      <c r="AU47">
        <v>3600</v>
      </c>
    </row>
    <row r="48" spans="1:47" x14ac:dyDescent="0.35">
      <c r="A48">
        <f t="shared" si="5"/>
        <v>24.054124829223586</v>
      </c>
      <c r="B48">
        <f t="shared" si="6"/>
        <v>16.748552818033158</v>
      </c>
      <c r="C48">
        <f t="shared" si="7"/>
        <v>0</v>
      </c>
      <c r="D48">
        <f t="shared" si="8"/>
        <v>0</v>
      </c>
      <c r="E48">
        <f t="shared" si="9"/>
        <v>0</v>
      </c>
      <c r="G48" t="s">
        <v>40</v>
      </c>
      <c r="H48">
        <v>2</v>
      </c>
      <c r="I48">
        <v>224</v>
      </c>
      <c r="J48">
        <v>3192</v>
      </c>
      <c r="K48">
        <v>3</v>
      </c>
      <c r="L48">
        <v>6</v>
      </c>
      <c r="M48">
        <v>46</v>
      </c>
      <c r="N48" t="s">
        <v>20</v>
      </c>
      <c r="O48" t="b">
        <v>1</v>
      </c>
      <c r="P48">
        <v>0.5</v>
      </c>
      <c r="Q48" t="b">
        <v>0</v>
      </c>
      <c r="R48">
        <v>12097.4283261659</v>
      </c>
      <c r="S48">
        <v>15007.358836867699</v>
      </c>
      <c r="T48">
        <v>12097.4283261659</v>
      </c>
      <c r="U48">
        <v>12097.4283261659</v>
      </c>
      <c r="V48">
        <v>0</v>
      </c>
      <c r="W48">
        <v>25988</v>
      </c>
      <c r="X48">
        <v>3600.0741500854401</v>
      </c>
      <c r="Y48">
        <v>3600</v>
      </c>
      <c r="AC48" t="s">
        <v>40</v>
      </c>
      <c r="AD48">
        <v>2</v>
      </c>
      <c r="AE48">
        <v>224</v>
      </c>
      <c r="AF48">
        <v>3192</v>
      </c>
      <c r="AG48">
        <v>3</v>
      </c>
      <c r="AH48">
        <v>6</v>
      </c>
      <c r="AI48">
        <v>46</v>
      </c>
      <c r="AJ48" t="s">
        <v>20</v>
      </c>
      <c r="AK48" t="b">
        <v>1</v>
      </c>
      <c r="AL48">
        <v>0.5</v>
      </c>
      <c r="AM48" t="b">
        <v>1</v>
      </c>
      <c r="AN48">
        <v>12097.4283261659</v>
      </c>
      <c r="AO48">
        <v>14123.572498997501</v>
      </c>
      <c r="AP48">
        <v>12097.4413760977</v>
      </c>
      <c r="AQ48">
        <v>12097.4283261659</v>
      </c>
      <c r="AR48">
        <v>0</v>
      </c>
      <c r="AS48">
        <v>10676</v>
      </c>
      <c r="AT48">
        <v>3600.2582881450599</v>
      </c>
      <c r="AU48">
        <v>3600</v>
      </c>
    </row>
    <row r="49" spans="1:47" x14ac:dyDescent="0.35">
      <c r="A49">
        <f t="shared" si="5"/>
        <v>21.896129898525011</v>
      </c>
      <c r="B49">
        <f t="shared" si="6"/>
        <v>15.933375979177585</v>
      </c>
      <c r="C49">
        <f t="shared" si="7"/>
        <v>0</v>
      </c>
      <c r="D49">
        <f t="shared" si="8"/>
        <v>0</v>
      </c>
      <c r="E49">
        <f t="shared" si="9"/>
        <v>0</v>
      </c>
      <c r="G49" t="s">
        <v>40</v>
      </c>
      <c r="H49">
        <v>2</v>
      </c>
      <c r="I49">
        <v>224</v>
      </c>
      <c r="J49">
        <v>3192</v>
      </c>
      <c r="K49">
        <v>3</v>
      </c>
      <c r="L49">
        <v>6</v>
      </c>
      <c r="M49">
        <v>47</v>
      </c>
      <c r="N49" t="s">
        <v>20</v>
      </c>
      <c r="O49" t="b">
        <v>1</v>
      </c>
      <c r="P49">
        <v>0.5</v>
      </c>
      <c r="Q49" t="b">
        <v>0</v>
      </c>
      <c r="R49">
        <v>12091.019481505</v>
      </c>
      <c r="S49">
        <v>14738.4848132313</v>
      </c>
      <c r="T49">
        <v>12091.066942074</v>
      </c>
      <c r="U49">
        <v>12091.019481505</v>
      </c>
      <c r="V49">
        <v>0</v>
      </c>
      <c r="W49">
        <v>752552</v>
      </c>
      <c r="X49">
        <v>3600.1254758834798</v>
      </c>
      <c r="Y49">
        <v>3600</v>
      </c>
      <c r="AC49" t="s">
        <v>40</v>
      </c>
      <c r="AD49">
        <v>2</v>
      </c>
      <c r="AE49">
        <v>224</v>
      </c>
      <c r="AF49">
        <v>3192</v>
      </c>
      <c r="AG49">
        <v>3</v>
      </c>
      <c r="AH49">
        <v>6</v>
      </c>
      <c r="AI49">
        <v>47</v>
      </c>
      <c r="AJ49" t="s">
        <v>20</v>
      </c>
      <c r="AK49" t="b">
        <v>1</v>
      </c>
      <c r="AL49">
        <v>0.5</v>
      </c>
      <c r="AM49" t="b">
        <v>1</v>
      </c>
      <c r="AN49">
        <v>12091.019481505</v>
      </c>
      <c r="AO49">
        <v>14017.5270752088</v>
      </c>
      <c r="AP49">
        <v>12091.019481505</v>
      </c>
      <c r="AQ49">
        <v>12091.019481505</v>
      </c>
      <c r="AR49">
        <v>0</v>
      </c>
      <c r="AS49">
        <v>13922</v>
      </c>
      <c r="AT49">
        <v>3600.2109570503198</v>
      </c>
      <c r="AU49">
        <v>3600</v>
      </c>
    </row>
    <row r="50" spans="1:47" x14ac:dyDescent="0.35">
      <c r="A50">
        <f t="shared" si="5"/>
        <v>27.287227164264859</v>
      </c>
      <c r="B50">
        <f t="shared" si="6"/>
        <v>15.546397052568221</v>
      </c>
      <c r="C50">
        <f t="shared" si="7"/>
        <v>2.9554674979911889E-4</v>
      </c>
      <c r="D50">
        <f t="shared" si="8"/>
        <v>0</v>
      </c>
      <c r="E50">
        <f t="shared" si="9"/>
        <v>0</v>
      </c>
      <c r="G50" t="s">
        <v>40</v>
      </c>
      <c r="H50">
        <v>2</v>
      </c>
      <c r="I50">
        <v>224</v>
      </c>
      <c r="J50">
        <v>3192</v>
      </c>
      <c r="K50">
        <v>3</v>
      </c>
      <c r="L50">
        <v>6</v>
      </c>
      <c r="M50">
        <v>48</v>
      </c>
      <c r="N50" t="s">
        <v>20</v>
      </c>
      <c r="O50" t="b">
        <v>1</v>
      </c>
      <c r="P50">
        <v>0.5</v>
      </c>
      <c r="Q50" t="b">
        <v>0</v>
      </c>
      <c r="R50">
        <v>12237.761276172399</v>
      </c>
      <c r="S50">
        <v>15577.106995422</v>
      </c>
      <c r="T50">
        <v>12237.875059681999</v>
      </c>
      <c r="U50">
        <v>12237.797444478099</v>
      </c>
      <c r="V50">
        <v>0</v>
      </c>
      <c r="W50">
        <v>256396</v>
      </c>
      <c r="X50">
        <v>3600.19660711288</v>
      </c>
      <c r="Y50">
        <v>3600</v>
      </c>
      <c r="AC50" t="s">
        <v>40</v>
      </c>
      <c r="AD50">
        <v>2</v>
      </c>
      <c r="AE50">
        <v>224</v>
      </c>
      <c r="AF50">
        <v>3192</v>
      </c>
      <c r="AG50">
        <v>3</v>
      </c>
      <c r="AH50">
        <v>6</v>
      </c>
      <c r="AI50">
        <v>48</v>
      </c>
      <c r="AJ50" t="s">
        <v>20</v>
      </c>
      <c r="AK50" t="b">
        <v>1</v>
      </c>
      <c r="AL50">
        <v>0.5</v>
      </c>
      <c r="AM50" t="b">
        <v>1</v>
      </c>
      <c r="AN50">
        <v>12237.761276172399</v>
      </c>
      <c r="AO50">
        <v>14140.2922345116</v>
      </c>
      <c r="AP50">
        <v>12237.8349811672</v>
      </c>
      <c r="AQ50">
        <v>12237.797444478099</v>
      </c>
      <c r="AR50">
        <v>0</v>
      </c>
      <c r="AS50">
        <v>14248</v>
      </c>
      <c r="AT50">
        <v>3600.2732861042</v>
      </c>
      <c r="AU50">
        <v>3600</v>
      </c>
    </row>
    <row r="51" spans="1:47" x14ac:dyDescent="0.35">
      <c r="A51">
        <f t="shared" si="5"/>
        <v>25.507594071046302</v>
      </c>
      <c r="B51">
        <f t="shared" si="6"/>
        <v>17.080141478402467</v>
      </c>
      <c r="C51">
        <f t="shared" si="7"/>
        <v>8.0004302937777341E-2</v>
      </c>
      <c r="D51">
        <f t="shared" si="8"/>
        <v>0</v>
      </c>
      <c r="E51">
        <f t="shared" si="9"/>
        <v>0</v>
      </c>
      <c r="G51" t="s">
        <v>40</v>
      </c>
      <c r="H51">
        <v>2</v>
      </c>
      <c r="I51">
        <v>224</v>
      </c>
      <c r="J51">
        <v>3192</v>
      </c>
      <c r="K51">
        <v>3</v>
      </c>
      <c r="L51">
        <v>6</v>
      </c>
      <c r="M51">
        <v>49</v>
      </c>
      <c r="N51" t="s">
        <v>20</v>
      </c>
      <c r="O51" t="b">
        <v>1</v>
      </c>
      <c r="P51">
        <v>0.5</v>
      </c>
      <c r="Q51" t="b">
        <v>0</v>
      </c>
      <c r="R51">
        <v>11985.597747358201</v>
      </c>
      <c r="S51">
        <v>15042.8353677428</v>
      </c>
      <c r="T51">
        <v>11987.8694636527</v>
      </c>
      <c r="U51">
        <v>11987.8090041368</v>
      </c>
      <c r="V51">
        <v>0</v>
      </c>
      <c r="W51">
        <v>499027</v>
      </c>
      <c r="X51">
        <v>3600.1634819507599</v>
      </c>
      <c r="Y51">
        <v>3600</v>
      </c>
      <c r="AC51" t="s">
        <v>40</v>
      </c>
      <c r="AD51">
        <v>2</v>
      </c>
      <c r="AE51">
        <v>224</v>
      </c>
      <c r="AF51">
        <v>3192</v>
      </c>
      <c r="AG51">
        <v>3</v>
      </c>
      <c r="AH51">
        <v>6</v>
      </c>
      <c r="AI51">
        <v>49</v>
      </c>
      <c r="AJ51" t="s">
        <v>20</v>
      </c>
      <c r="AK51" t="b">
        <v>1</v>
      </c>
      <c r="AL51">
        <v>0.5</v>
      </c>
      <c r="AM51" t="b">
        <v>1</v>
      </c>
      <c r="AN51">
        <v>11985.597747358201</v>
      </c>
      <c r="AO51">
        <v>14032.7547996392</v>
      </c>
      <c r="AP51">
        <v>11995.229390058301</v>
      </c>
      <c r="AQ51">
        <v>11995.186741288901</v>
      </c>
      <c r="AR51">
        <v>0</v>
      </c>
      <c r="AS51">
        <v>12288</v>
      </c>
      <c r="AT51">
        <v>3600.2823529243401</v>
      </c>
      <c r="AU51">
        <v>3600</v>
      </c>
    </row>
    <row r="53" spans="1:47" x14ac:dyDescent="0.35">
      <c r="A53" s="1">
        <f t="shared" ref="A53:D53" si="10">AVERAGE(A2:A51)</f>
        <v>26.55234470462015</v>
      </c>
      <c r="B53" s="1">
        <f t="shared" si="10"/>
        <v>16.750487373533417</v>
      </c>
      <c r="C53" s="1">
        <f t="shared" si="10"/>
        <v>5.2076657801246859E-2</v>
      </c>
      <c r="D53" s="1">
        <f t="shared" si="10"/>
        <v>0</v>
      </c>
      <c r="E53" s="1">
        <f>AVERAGE(E2:E51)</f>
        <v>0</v>
      </c>
      <c r="F53" t="s">
        <v>25</v>
      </c>
    </row>
    <row r="54" spans="1:47" x14ac:dyDescent="0.35">
      <c r="A54" s="1">
        <f t="shared" ref="A54:D54" si="11">_xlfn.STDEV.S(A2:A51)/SQRT(COUNT(A2:A51))</f>
        <v>0.31417877934917726</v>
      </c>
      <c r="B54" s="1">
        <f t="shared" si="11"/>
        <v>0.10959361960350583</v>
      </c>
      <c r="C54" s="1">
        <f t="shared" si="11"/>
        <v>1.0379287159968808E-2</v>
      </c>
      <c r="D54" s="1">
        <f t="shared" si="11"/>
        <v>0</v>
      </c>
      <c r="E54" s="1">
        <f>_xlfn.STDEV.S(E2:E51)/SQRT(COUNT(E2:E51))</f>
        <v>0</v>
      </c>
      <c r="F54" t="s">
        <v>26</v>
      </c>
    </row>
    <row r="55" spans="1:47" x14ac:dyDescent="0.35">
      <c r="A55" s="1">
        <f t="shared" ref="A55:D55" si="12">MAX(A2:A51)</f>
        <v>31.769962376889975</v>
      </c>
      <c r="B55" s="1">
        <f t="shared" si="12"/>
        <v>18.545997007937622</v>
      </c>
      <c r="C55" s="1">
        <f t="shared" si="12"/>
        <v>0.26882206971327921</v>
      </c>
      <c r="D55" s="1">
        <f t="shared" si="12"/>
        <v>0</v>
      </c>
      <c r="E55" s="1">
        <f>MAX(E2:E51)</f>
        <v>0</v>
      </c>
      <c r="F55" t="s">
        <v>27</v>
      </c>
    </row>
    <row r="56" spans="1:47" x14ac:dyDescent="0.35">
      <c r="A56" s="1">
        <f t="shared" ref="A56:D56" si="13">MIN(A2:A51)</f>
        <v>20.631058118778569</v>
      </c>
      <c r="B56" s="1">
        <f t="shared" si="13"/>
        <v>15.235773928294385</v>
      </c>
      <c r="C56" s="1">
        <f t="shared" si="13"/>
        <v>0</v>
      </c>
      <c r="D56" s="1">
        <f t="shared" si="13"/>
        <v>0</v>
      </c>
      <c r="E56" s="1">
        <f>MIN(E2:E51)</f>
        <v>0</v>
      </c>
      <c r="F56" t="s">
        <v>28</v>
      </c>
    </row>
    <row r="57" spans="1:47" x14ac:dyDescent="0.35">
      <c r="A57" s="1">
        <f t="shared" ref="A57:D57" si="14">SUM(A2:A51)</f>
        <v>1327.6172352310075</v>
      </c>
      <c r="B57" s="1">
        <f t="shared" si="14"/>
        <v>837.52436867667086</v>
      </c>
      <c r="C57" s="1">
        <f t="shared" si="14"/>
        <v>2.6038328900623431</v>
      </c>
      <c r="D57" s="1">
        <f t="shared" si="14"/>
        <v>0</v>
      </c>
      <c r="E57" s="1">
        <f>SUM(E2:E51)</f>
        <v>0</v>
      </c>
      <c r="F57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5A4C-0E49-448A-B413-A3F4081787A6}">
  <dimension ref="A1:AU17"/>
  <sheetViews>
    <sheetView workbookViewId="0">
      <pane ySplit="1" topLeftCell="A2" activePane="bottomLeft" state="frozen"/>
      <selection pane="bottomLeft" activeCell="G16" sqref="G15:G16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25.875228379433366</v>
      </c>
      <c r="B2">
        <f>(AO2-AN2)/AN2*100</f>
        <v>17.648470146965348</v>
      </c>
      <c r="C2">
        <f>(AQ2-AN2)/AN2*100</f>
        <v>0.26215816465869235</v>
      </c>
      <c r="D2">
        <f>IF(X2&lt;Y2,1,0)</f>
        <v>0</v>
      </c>
      <c r="E2">
        <f>IF(AT2&lt;AU2,1,0)</f>
        <v>0</v>
      </c>
      <c r="G2" t="s">
        <v>19</v>
      </c>
      <c r="H2">
        <v>0</v>
      </c>
      <c r="I2">
        <v>333</v>
      </c>
      <c r="J2">
        <v>2519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17872.341656533699</v>
      </c>
      <c r="S2">
        <v>22496.850876914399</v>
      </c>
      <c r="T2">
        <v>17919.3127701181</v>
      </c>
      <c r="U2">
        <v>17919.195459401999</v>
      </c>
      <c r="V2">
        <v>0</v>
      </c>
      <c r="W2">
        <v>4720273</v>
      </c>
      <c r="X2">
        <v>18000.1173150539</v>
      </c>
      <c r="Y2">
        <v>18000</v>
      </c>
      <c r="AC2" t="s">
        <v>21</v>
      </c>
      <c r="AD2">
        <v>0</v>
      </c>
      <c r="AE2">
        <v>333</v>
      </c>
      <c r="AF2">
        <v>2519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17872.341656533699</v>
      </c>
      <c r="AO2">
        <v>21026.536538350701</v>
      </c>
      <c r="AP2">
        <v>17919.267169622999</v>
      </c>
      <c r="AQ2">
        <v>17919.195459401999</v>
      </c>
      <c r="AR2">
        <v>0</v>
      </c>
      <c r="AS2">
        <v>277748</v>
      </c>
      <c r="AT2">
        <v>18000.176775932301</v>
      </c>
      <c r="AU2">
        <v>18000</v>
      </c>
    </row>
    <row r="3" spans="1:47" x14ac:dyDescent="0.35">
      <c r="A3">
        <f t="shared" ref="A3:A11" si="0">(-R3+S3)/R3*100</f>
        <v>22.768240438593573</v>
      </c>
      <c r="B3">
        <f t="shared" ref="B3:B11" si="1">(AO3-AN3)/AN3*100</f>
        <v>16.752870342344899</v>
      </c>
      <c r="C3">
        <f t="shared" ref="C3:C11" si="2">(AQ3-AN3)/AN3*100</f>
        <v>0.30432462166255786</v>
      </c>
      <c r="D3">
        <f t="shared" ref="D3:D11" si="3">IF(X3&lt;Y3,1,0)</f>
        <v>0</v>
      </c>
      <c r="E3">
        <f t="shared" ref="E3:E11" si="4">IF(AT3&lt;AU3,1,0)</f>
        <v>0</v>
      </c>
      <c r="G3" t="s">
        <v>19</v>
      </c>
      <c r="H3">
        <v>0</v>
      </c>
      <c r="I3">
        <v>333</v>
      </c>
      <c r="J3">
        <v>2519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18233.43646556</v>
      </c>
      <c r="S3">
        <v>22384.869120256899</v>
      </c>
      <c r="T3">
        <v>18289.086185161999</v>
      </c>
      <c r="U3">
        <v>18288.925302099899</v>
      </c>
      <c r="V3">
        <v>0</v>
      </c>
      <c r="W3">
        <v>2998820</v>
      </c>
      <c r="X3">
        <v>18000.0878570079</v>
      </c>
      <c r="Y3">
        <v>18000</v>
      </c>
      <c r="AC3" t="s">
        <v>21</v>
      </c>
      <c r="AD3">
        <v>0</v>
      </c>
      <c r="AE3">
        <v>333</v>
      </c>
      <c r="AF3">
        <v>2519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18233.43646556</v>
      </c>
      <c r="AO3">
        <v>21288.060435589101</v>
      </c>
      <c r="AP3">
        <v>18289.000714552199</v>
      </c>
      <c r="AQ3">
        <v>18288.925302099899</v>
      </c>
      <c r="AR3">
        <v>0</v>
      </c>
      <c r="AS3">
        <v>271234</v>
      </c>
      <c r="AT3">
        <v>18000.229745864799</v>
      </c>
      <c r="AU3">
        <v>18000</v>
      </c>
    </row>
    <row r="4" spans="1:47" x14ac:dyDescent="0.35">
      <c r="A4">
        <f t="shared" si="0"/>
        <v>22.69634394353217</v>
      </c>
      <c r="B4">
        <f t="shared" si="1"/>
        <v>16.655050373023506</v>
      </c>
      <c r="C4">
        <f t="shared" si="2"/>
        <v>0.16608901468112369</v>
      </c>
      <c r="D4">
        <f t="shared" si="3"/>
        <v>0</v>
      </c>
      <c r="E4">
        <f t="shared" si="4"/>
        <v>0</v>
      </c>
      <c r="G4" t="s">
        <v>19</v>
      </c>
      <c r="H4">
        <v>0</v>
      </c>
      <c r="I4">
        <v>333</v>
      </c>
      <c r="J4">
        <v>2519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17799.019460051899</v>
      </c>
      <c r="S4">
        <v>21838.746135281501</v>
      </c>
      <c r="T4">
        <v>17828.587505902</v>
      </c>
      <c r="U4">
        <v>17828.581676096001</v>
      </c>
      <c r="V4">
        <v>0</v>
      </c>
      <c r="W4">
        <v>2879479</v>
      </c>
      <c r="X4">
        <v>18000.084254026398</v>
      </c>
      <c r="Y4">
        <v>18000</v>
      </c>
      <c r="AC4" t="s">
        <v>21</v>
      </c>
      <c r="AD4">
        <v>0</v>
      </c>
      <c r="AE4">
        <v>333</v>
      </c>
      <c r="AF4">
        <v>2519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17799.019460051899</v>
      </c>
      <c r="AO4">
        <v>20763.455117027799</v>
      </c>
      <c r="AP4">
        <v>17828.587669030199</v>
      </c>
      <c r="AQ4">
        <v>17828.581676096001</v>
      </c>
      <c r="AR4">
        <v>0</v>
      </c>
      <c r="AS4">
        <v>225366</v>
      </c>
      <c r="AT4">
        <v>18000.093441963101</v>
      </c>
      <c r="AU4">
        <v>18000</v>
      </c>
    </row>
    <row r="5" spans="1:47" x14ac:dyDescent="0.35">
      <c r="A5">
        <f t="shared" si="0"/>
        <v>22.282224686822698</v>
      </c>
      <c r="B5">
        <f t="shared" si="1"/>
        <v>16.0619630042039</v>
      </c>
      <c r="C5">
        <f t="shared" si="2"/>
        <v>0.34744666691260445</v>
      </c>
      <c r="D5">
        <f t="shared" si="3"/>
        <v>0</v>
      </c>
      <c r="E5">
        <f t="shared" si="4"/>
        <v>0</v>
      </c>
      <c r="G5" t="s">
        <v>19</v>
      </c>
      <c r="H5">
        <v>0</v>
      </c>
      <c r="I5">
        <v>333</v>
      </c>
      <c r="J5">
        <v>2519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18110.642359371301</v>
      </c>
      <c r="S5">
        <v>22146.096382113301</v>
      </c>
      <c r="T5">
        <v>18173.697113463601</v>
      </c>
      <c r="U5">
        <v>18173.567182605399</v>
      </c>
      <c r="V5">
        <v>0</v>
      </c>
      <c r="W5">
        <v>2666677</v>
      </c>
      <c r="X5">
        <v>18000.035459995201</v>
      </c>
      <c r="Y5">
        <v>18000</v>
      </c>
      <c r="AC5" t="s">
        <v>21</v>
      </c>
      <c r="AD5">
        <v>0</v>
      </c>
      <c r="AE5">
        <v>333</v>
      </c>
      <c r="AF5">
        <v>2519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18110.642359371301</v>
      </c>
      <c r="AO5">
        <v>21019.567034957199</v>
      </c>
      <c r="AP5">
        <v>18173.609202093201</v>
      </c>
      <c r="AQ5">
        <v>18173.567182605399</v>
      </c>
      <c r="AR5">
        <v>0</v>
      </c>
      <c r="AS5">
        <v>190211</v>
      </c>
      <c r="AT5">
        <v>18000.1078422069</v>
      </c>
      <c r="AU5">
        <v>18000</v>
      </c>
    </row>
    <row r="6" spans="1:47" x14ac:dyDescent="0.35">
      <c r="A6">
        <f t="shared" si="0"/>
        <v>22.590748102374935</v>
      </c>
      <c r="B6">
        <f t="shared" si="1"/>
        <v>16.344956949912103</v>
      </c>
      <c r="C6">
        <f t="shared" si="2"/>
        <v>0.16862216043477807</v>
      </c>
      <c r="D6">
        <f t="shared" si="3"/>
        <v>0</v>
      </c>
      <c r="E6">
        <f t="shared" si="4"/>
        <v>0</v>
      </c>
      <c r="G6" t="s">
        <v>19</v>
      </c>
      <c r="H6">
        <v>0</v>
      </c>
      <c r="I6">
        <v>333</v>
      </c>
      <c r="J6">
        <v>2519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18210.328408273999</v>
      </c>
      <c r="S6">
        <v>22324.177827602402</v>
      </c>
      <c r="T6">
        <v>18241.128558954901</v>
      </c>
      <c r="U6">
        <v>18241.035057458299</v>
      </c>
      <c r="V6">
        <v>0</v>
      </c>
      <c r="W6">
        <v>2650684</v>
      </c>
      <c r="X6">
        <v>18000.051118135401</v>
      </c>
      <c r="Y6">
        <v>18000</v>
      </c>
      <c r="AC6" t="s">
        <v>21</v>
      </c>
      <c r="AD6">
        <v>0</v>
      </c>
      <c r="AE6">
        <v>333</v>
      </c>
      <c r="AF6">
        <v>2519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18210.328408273999</v>
      </c>
      <c r="AO6">
        <v>21186.798747043998</v>
      </c>
      <c r="AP6">
        <v>18241.087758858499</v>
      </c>
      <c r="AQ6">
        <v>18241.035057458299</v>
      </c>
      <c r="AR6">
        <v>0</v>
      </c>
      <c r="AS6">
        <v>238944</v>
      </c>
      <c r="AT6">
        <v>18000.254925012501</v>
      </c>
      <c r="AU6">
        <v>18000</v>
      </c>
    </row>
    <row r="7" spans="1:47" x14ac:dyDescent="0.35">
      <c r="A7">
        <f t="shared" si="0"/>
        <v>23.745923869256817</v>
      </c>
      <c r="B7">
        <f t="shared" si="1"/>
        <v>15.943613213154489</v>
      </c>
      <c r="C7">
        <f t="shared" si="2"/>
        <v>0.14174486938011663</v>
      </c>
      <c r="D7">
        <f t="shared" si="3"/>
        <v>0</v>
      </c>
      <c r="E7">
        <f t="shared" si="4"/>
        <v>0</v>
      </c>
      <c r="G7" t="s">
        <v>19</v>
      </c>
      <c r="H7">
        <v>0</v>
      </c>
      <c r="I7">
        <v>333</v>
      </c>
      <c r="J7">
        <v>2519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18041.759065521601</v>
      </c>
      <c r="S7">
        <v>22325.941437895101</v>
      </c>
      <c r="T7">
        <v>18050.0224487589</v>
      </c>
      <c r="U7">
        <v>18049.908870961801</v>
      </c>
      <c r="V7">
        <v>0</v>
      </c>
      <c r="W7">
        <v>3173073</v>
      </c>
      <c r="X7">
        <v>18000.0229401588</v>
      </c>
      <c r="Y7">
        <v>18000</v>
      </c>
      <c r="AC7" t="s">
        <v>21</v>
      </c>
      <c r="AD7">
        <v>0</v>
      </c>
      <c r="AE7">
        <v>333</v>
      </c>
      <c r="AF7">
        <v>2519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18041.759065521601</v>
      </c>
      <c r="AO7">
        <v>20918.267347777601</v>
      </c>
      <c r="AP7">
        <v>18067.405044819599</v>
      </c>
      <c r="AQ7">
        <v>18067.3323333429</v>
      </c>
      <c r="AR7">
        <v>0</v>
      </c>
      <c r="AS7">
        <v>209844</v>
      </c>
      <c r="AT7">
        <v>18000.0622291564</v>
      </c>
      <c r="AU7">
        <v>18000</v>
      </c>
    </row>
    <row r="8" spans="1:47" x14ac:dyDescent="0.35">
      <c r="A8">
        <f t="shared" si="0"/>
        <v>23.409729406228838</v>
      </c>
      <c r="B8">
        <f t="shared" si="1"/>
        <v>17.427271778221318</v>
      </c>
      <c r="C8">
        <f t="shared" si="2"/>
        <v>0.21660003127647257</v>
      </c>
      <c r="D8">
        <f t="shared" si="3"/>
        <v>0</v>
      </c>
      <c r="E8">
        <f t="shared" si="4"/>
        <v>0</v>
      </c>
      <c r="G8" t="s">
        <v>19</v>
      </c>
      <c r="H8">
        <v>0</v>
      </c>
      <c r="I8">
        <v>333</v>
      </c>
      <c r="J8">
        <v>2519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17959.6476446243</v>
      </c>
      <c r="S8">
        <v>22163.952560542999</v>
      </c>
      <c r="T8">
        <v>17998.6732283036</v>
      </c>
      <c r="U8">
        <v>17998.5482470397</v>
      </c>
      <c r="V8">
        <v>0</v>
      </c>
      <c r="W8">
        <v>2478020</v>
      </c>
      <c r="X8">
        <v>18000.090938091202</v>
      </c>
      <c r="Y8">
        <v>18000</v>
      </c>
      <c r="AC8" t="s">
        <v>21</v>
      </c>
      <c r="AD8">
        <v>0</v>
      </c>
      <c r="AE8">
        <v>333</v>
      </c>
      <c r="AF8">
        <v>2519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17959.6476446243</v>
      </c>
      <c r="AO8">
        <v>21089.5242500639</v>
      </c>
      <c r="AP8">
        <v>17998.616628101401</v>
      </c>
      <c r="AQ8">
        <v>17998.5482470397</v>
      </c>
      <c r="AR8">
        <v>0</v>
      </c>
      <c r="AS8">
        <v>258730</v>
      </c>
      <c r="AT8">
        <v>18000.187470912901</v>
      </c>
      <c r="AU8">
        <v>18000</v>
      </c>
    </row>
    <row r="9" spans="1:47" x14ac:dyDescent="0.35">
      <c r="A9">
        <f t="shared" si="0"/>
        <v>23.547787180944233</v>
      </c>
      <c r="B9">
        <f t="shared" si="1"/>
        <v>17.365394150514696</v>
      </c>
      <c r="C9">
        <f t="shared" si="2"/>
        <v>0.24141850833937678</v>
      </c>
      <c r="D9">
        <f t="shared" si="3"/>
        <v>0</v>
      </c>
      <c r="E9">
        <f t="shared" si="4"/>
        <v>0</v>
      </c>
      <c r="G9" t="s">
        <v>19</v>
      </c>
      <c r="H9">
        <v>0</v>
      </c>
      <c r="I9">
        <v>333</v>
      </c>
      <c r="J9">
        <v>2519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17979.344068715302</v>
      </c>
      <c r="S9">
        <v>22213.0817465461</v>
      </c>
      <c r="T9">
        <v>18022.826608234798</v>
      </c>
      <c r="U9">
        <v>18022.749532975198</v>
      </c>
      <c r="V9">
        <v>0</v>
      </c>
      <c r="W9">
        <v>3508142</v>
      </c>
      <c r="X9">
        <v>18000.0381970405</v>
      </c>
      <c r="Y9">
        <v>18000</v>
      </c>
      <c r="AC9" t="s">
        <v>21</v>
      </c>
      <c r="AD9">
        <v>0</v>
      </c>
      <c r="AE9">
        <v>333</v>
      </c>
      <c r="AF9">
        <v>2519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17979.344068715302</v>
      </c>
      <c r="AO9">
        <v>21101.5280319249</v>
      </c>
      <c r="AP9">
        <v>18022.834240976001</v>
      </c>
      <c r="AQ9">
        <v>18022.749532975198</v>
      </c>
      <c r="AR9">
        <v>0</v>
      </c>
      <c r="AS9">
        <v>248108</v>
      </c>
      <c r="AT9">
        <v>18000.104997158</v>
      </c>
      <c r="AU9">
        <v>18000</v>
      </c>
    </row>
    <row r="10" spans="1:47" x14ac:dyDescent="0.35">
      <c r="A10">
        <f t="shared" si="0"/>
        <v>24.826467599203898</v>
      </c>
      <c r="B10">
        <f t="shared" si="1"/>
        <v>17.476884047006809</v>
      </c>
      <c r="C10">
        <f t="shared" si="2"/>
        <v>0.11334759103262641</v>
      </c>
      <c r="D10">
        <f t="shared" si="3"/>
        <v>0</v>
      </c>
      <c r="E10">
        <f t="shared" si="4"/>
        <v>0</v>
      </c>
      <c r="G10" t="s">
        <v>19</v>
      </c>
      <c r="H10">
        <v>0</v>
      </c>
      <c r="I10">
        <v>333</v>
      </c>
      <c r="J10">
        <v>2519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17878.709850187199</v>
      </c>
      <c r="S10">
        <v>22317.3619582996</v>
      </c>
      <c r="T10">
        <v>17899.229895559401</v>
      </c>
      <c r="U10">
        <v>17898.974937110099</v>
      </c>
      <c r="V10">
        <v>0</v>
      </c>
      <c r="W10">
        <v>2909308</v>
      </c>
      <c r="X10">
        <v>18000.3486590385</v>
      </c>
      <c r="Y10">
        <v>18000</v>
      </c>
      <c r="AC10" t="s">
        <v>21</v>
      </c>
      <c r="AD10">
        <v>0</v>
      </c>
      <c r="AE10">
        <v>333</v>
      </c>
      <c r="AF10">
        <v>2519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17878.709850187199</v>
      </c>
      <c r="AO10">
        <v>21003.351239805201</v>
      </c>
      <c r="AP10">
        <v>17898.974937110201</v>
      </c>
      <c r="AQ10">
        <v>17898.974937110099</v>
      </c>
      <c r="AR10">
        <v>0</v>
      </c>
      <c r="AS10">
        <v>179151</v>
      </c>
      <c r="AT10">
        <v>18000.046818971601</v>
      </c>
      <c r="AU10">
        <v>18000</v>
      </c>
    </row>
    <row r="11" spans="1:47" x14ac:dyDescent="0.35">
      <c r="A11">
        <f t="shared" si="0"/>
        <v>24.53705806801975</v>
      </c>
      <c r="B11">
        <f t="shared" si="1"/>
        <v>16.66269146664542</v>
      </c>
      <c r="C11">
        <f t="shared" si="2"/>
        <v>0.23733339825916036</v>
      </c>
      <c r="D11">
        <f t="shared" si="3"/>
        <v>0</v>
      </c>
      <c r="E11">
        <f t="shared" si="4"/>
        <v>0</v>
      </c>
      <c r="G11" t="s">
        <v>19</v>
      </c>
      <c r="H11">
        <v>0</v>
      </c>
      <c r="I11">
        <v>333</v>
      </c>
      <c r="J11">
        <v>2519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17915.5283325821</v>
      </c>
      <c r="S11">
        <v>22311.4719227403</v>
      </c>
      <c r="T11">
        <v>17957.3707779629</v>
      </c>
      <c r="U11">
        <v>17957.228365195901</v>
      </c>
      <c r="V11">
        <v>0</v>
      </c>
      <c r="W11">
        <v>3155425</v>
      </c>
      <c r="X11">
        <v>18000.0755848884</v>
      </c>
      <c r="Y11">
        <v>18000</v>
      </c>
      <c r="AC11" t="s">
        <v>21</v>
      </c>
      <c r="AD11">
        <v>0</v>
      </c>
      <c r="AE11">
        <v>333</v>
      </c>
      <c r="AF11">
        <v>2519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17915.5283325821</v>
      </c>
      <c r="AO11">
        <v>20900.7375432597</v>
      </c>
      <c r="AP11">
        <v>17958.114768054598</v>
      </c>
      <c r="AQ11">
        <v>17958.0478647899</v>
      </c>
      <c r="AR11">
        <v>0</v>
      </c>
      <c r="AS11">
        <v>218604</v>
      </c>
      <c r="AT11">
        <v>18000.392436981201</v>
      </c>
      <c r="AU11">
        <v>18000</v>
      </c>
    </row>
    <row r="13" spans="1:47" x14ac:dyDescent="0.35">
      <c r="A13" s="1">
        <f t="shared" ref="A13:B13" si="5">AVERAGE(A2:A11)</f>
        <v>23.627975167441029</v>
      </c>
      <c r="B13" s="1">
        <f t="shared" si="5"/>
        <v>16.833916547199248</v>
      </c>
      <c r="C13" s="1">
        <f>AVERAGE(C2:C11)</f>
        <v>0.21990850266375098</v>
      </c>
      <c r="D13" s="1">
        <f t="shared" ref="D13:E13" si="6">AVERAGE(D2:D11)</f>
        <v>0</v>
      </c>
      <c r="E13" s="1">
        <f t="shared" si="6"/>
        <v>0</v>
      </c>
      <c r="F13" t="s">
        <v>25</v>
      </c>
    </row>
    <row r="14" spans="1:47" x14ac:dyDescent="0.35">
      <c r="A14" s="1">
        <f t="shared" ref="A14:B14" si="7">_xlfn.STDEV.S(A2:A11)/SQRT(COUNT(A2:A11))</f>
        <v>0.36324006343511728</v>
      </c>
      <c r="B14" s="1">
        <f t="shared" si="7"/>
        <v>0.19456381576455126</v>
      </c>
      <c r="C14" s="1">
        <f>_xlfn.STDEV.S(C2:C11)/SQRT(COUNT(C2:C11))</f>
        <v>2.3320462969667253E-2</v>
      </c>
      <c r="D14" s="1">
        <f t="shared" ref="D14:E14" si="8">_xlfn.STDEV.S(D2:D11)/SQRT(COUNT(D2:D11))</f>
        <v>0</v>
      </c>
      <c r="E14" s="1">
        <f t="shared" si="8"/>
        <v>0</v>
      </c>
      <c r="F14" t="s">
        <v>26</v>
      </c>
    </row>
    <row r="15" spans="1:47" x14ac:dyDescent="0.35">
      <c r="A15" s="1">
        <f t="shared" ref="A15:B15" si="9">MAX(A2:A11)</f>
        <v>25.875228379433366</v>
      </c>
      <c r="B15" s="1">
        <f t="shared" si="9"/>
        <v>17.648470146965348</v>
      </c>
      <c r="C15" s="1">
        <f>MAX(C2:C11)</f>
        <v>0.34744666691260445</v>
      </c>
      <c r="D15" s="1">
        <f t="shared" ref="D15:E15" si="10">MAX(D2:D11)</f>
        <v>0</v>
      </c>
      <c r="E15" s="1">
        <f t="shared" si="10"/>
        <v>0</v>
      </c>
      <c r="F15" t="s">
        <v>27</v>
      </c>
    </row>
    <row r="16" spans="1:47" x14ac:dyDescent="0.35">
      <c r="A16" s="1">
        <f t="shared" ref="A16:B16" si="11">MIN(A2:A11)</f>
        <v>22.282224686822698</v>
      </c>
      <c r="B16" s="1">
        <f t="shared" si="11"/>
        <v>15.943613213154489</v>
      </c>
      <c r="C16" s="1">
        <f>MIN(C2:C11)</f>
        <v>0.11334759103262641</v>
      </c>
      <c r="D16" s="1">
        <f t="shared" ref="D16:E16" si="12">MIN(D2:D11)</f>
        <v>0</v>
      </c>
      <c r="E16" s="1">
        <f t="shared" si="12"/>
        <v>0</v>
      </c>
      <c r="F16" t="s">
        <v>28</v>
      </c>
    </row>
    <row r="17" spans="1:6" x14ac:dyDescent="0.35">
      <c r="A17" s="1">
        <f t="shared" ref="A17:C17" si="13">SUM(A2:A11)</f>
        <v>236.27975167441028</v>
      </c>
      <c r="B17" s="1">
        <f t="shared" si="13"/>
        <v>168.33916547199249</v>
      </c>
      <c r="C17" s="1">
        <f t="shared" si="13"/>
        <v>2.1990850266375097</v>
      </c>
      <c r="D17" s="1">
        <f>SUM(D2:D11)</f>
        <v>0</v>
      </c>
      <c r="E17" s="1">
        <f>SUM(E2:E11)</f>
        <v>0</v>
      </c>
      <c r="F17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90B7-C547-463B-9A69-58DEF07BB7B2}">
  <dimension ref="A1:AU1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26.693088176384428</v>
      </c>
      <c r="B2">
        <f>(AO2-AN2)/AN2*100</f>
        <v>18.795900247808227</v>
      </c>
      <c r="C2">
        <f>(AQ2-AN2)/AN2*100</f>
        <v>7.3161791553086339E-3</v>
      </c>
      <c r="D2">
        <f>IF(X2&lt;Y2,1,0)</f>
        <v>0</v>
      </c>
      <c r="E2">
        <f>IF(AT2&lt;AU2,1,0)</f>
        <v>0</v>
      </c>
      <c r="G2" t="s">
        <v>38</v>
      </c>
      <c r="H2">
        <v>8</v>
      </c>
      <c r="I2">
        <v>534</v>
      </c>
      <c r="J2">
        <v>4813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29007.8659030774</v>
      </c>
      <c r="S2">
        <v>36750.961126673203</v>
      </c>
      <c r="T2">
        <v>29017.3537358584</v>
      </c>
      <c r="U2">
        <v>29017.223175269599</v>
      </c>
      <c r="V2">
        <v>0</v>
      </c>
      <c r="W2">
        <v>257917</v>
      </c>
      <c r="X2">
        <v>18000.072762966101</v>
      </c>
      <c r="Y2">
        <v>18000</v>
      </c>
      <c r="AC2" t="s">
        <v>39</v>
      </c>
      <c r="AD2">
        <v>8</v>
      </c>
      <c r="AE2">
        <v>534</v>
      </c>
      <c r="AF2">
        <v>4813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29007.8659030774</v>
      </c>
      <c r="AO2">
        <v>34460.155442237803</v>
      </c>
      <c r="AP2">
        <v>29010.081106883099</v>
      </c>
      <c r="AQ2">
        <v>29009.988170516001</v>
      </c>
      <c r="AR2">
        <v>0</v>
      </c>
      <c r="AS2">
        <v>65724</v>
      </c>
      <c r="AT2">
        <v>18000.094136953299</v>
      </c>
      <c r="AU2">
        <v>18000</v>
      </c>
    </row>
    <row r="3" spans="1:47" x14ac:dyDescent="0.35">
      <c r="A3">
        <f t="shared" ref="A3:A11" si="0">(-R3+S3)/R3*100</f>
        <v>25.150763809307559</v>
      </c>
      <c r="B3">
        <f t="shared" ref="B3:B11" si="1">(AO3-AN3)/AN3*100</f>
        <v>18.597653859514264</v>
      </c>
      <c r="C3">
        <f t="shared" ref="C3:C11" si="2">(AQ3-AN3)/AN3*100</f>
        <v>1.8107656254644538E-2</v>
      </c>
      <c r="D3">
        <f t="shared" ref="D3:D11" si="3">IF(X3&lt;Y3,1,0)</f>
        <v>0</v>
      </c>
      <c r="E3">
        <f t="shared" ref="E3:E11" si="4">IF(AT3&lt;AU3,1,0)</f>
        <v>0</v>
      </c>
      <c r="G3" t="s">
        <v>38</v>
      </c>
      <c r="H3">
        <v>8</v>
      </c>
      <c r="I3">
        <v>534</v>
      </c>
      <c r="J3">
        <v>4813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28707.604467403198</v>
      </c>
      <c r="S3">
        <v>35927.786262310001</v>
      </c>
      <c r="T3">
        <v>28712.963677375599</v>
      </c>
      <c r="U3">
        <v>28712.802741739099</v>
      </c>
      <c r="V3">
        <v>0</v>
      </c>
      <c r="W3">
        <v>226701</v>
      </c>
      <c r="X3">
        <v>18000.127717018098</v>
      </c>
      <c r="Y3">
        <v>18000</v>
      </c>
      <c r="AC3" t="s">
        <v>39</v>
      </c>
      <c r="AD3">
        <v>8</v>
      </c>
      <c r="AE3">
        <v>534</v>
      </c>
      <c r="AF3">
        <v>4813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28707.604467403198</v>
      </c>
      <c r="AO3">
        <v>34046.545377609298</v>
      </c>
      <c r="AP3">
        <v>28712.818760441001</v>
      </c>
      <c r="AQ3">
        <v>28712.802741739099</v>
      </c>
      <c r="AR3">
        <v>0</v>
      </c>
      <c r="AS3">
        <v>32986</v>
      </c>
      <c r="AT3">
        <v>18000.141445875099</v>
      </c>
      <c r="AU3">
        <v>18000</v>
      </c>
    </row>
    <row r="4" spans="1:47" x14ac:dyDescent="0.35">
      <c r="A4">
        <f t="shared" si="0"/>
        <v>27.447817967123939</v>
      </c>
      <c r="B4">
        <f t="shared" si="1"/>
        <v>18.649340070307101</v>
      </c>
      <c r="C4">
        <f t="shared" si="2"/>
        <v>6.0480908951825056E-2</v>
      </c>
      <c r="D4">
        <f t="shared" si="3"/>
        <v>0</v>
      </c>
      <c r="E4">
        <f t="shared" si="4"/>
        <v>0</v>
      </c>
      <c r="G4" t="s">
        <v>38</v>
      </c>
      <c r="H4">
        <v>8</v>
      </c>
      <c r="I4">
        <v>534</v>
      </c>
      <c r="J4">
        <v>4813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28831.763489351499</v>
      </c>
      <c r="S4">
        <v>36745.453448620399</v>
      </c>
      <c r="T4">
        <v>28831.920969417999</v>
      </c>
      <c r="U4">
        <v>28831.763489351499</v>
      </c>
      <c r="V4">
        <v>0</v>
      </c>
      <c r="W4">
        <v>326079</v>
      </c>
      <c r="X4">
        <v>18000.100820064501</v>
      </c>
      <c r="Y4">
        <v>18000</v>
      </c>
      <c r="AC4" t="s">
        <v>39</v>
      </c>
      <c r="AD4">
        <v>8</v>
      </c>
      <c r="AE4">
        <v>534</v>
      </c>
      <c r="AF4">
        <v>4813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28831.763489351499</v>
      </c>
      <c r="AO4">
        <v>34208.6971107473</v>
      </c>
      <c r="AP4">
        <v>28849.315861429001</v>
      </c>
      <c r="AQ4">
        <v>28849.201201976699</v>
      </c>
      <c r="AR4">
        <v>0</v>
      </c>
      <c r="AS4">
        <v>43626</v>
      </c>
      <c r="AT4">
        <v>18000.286723852099</v>
      </c>
      <c r="AU4">
        <v>18000</v>
      </c>
    </row>
    <row r="5" spans="1:47" x14ac:dyDescent="0.35">
      <c r="A5">
        <f t="shared" si="0"/>
        <v>27.354891142730857</v>
      </c>
      <c r="B5">
        <f t="shared" si="1"/>
        <v>19.719419945237018</v>
      </c>
      <c r="C5">
        <f t="shared" si="2"/>
        <v>7.7024944127023723E-2</v>
      </c>
      <c r="D5">
        <f t="shared" si="3"/>
        <v>0</v>
      </c>
      <c r="E5">
        <f t="shared" si="4"/>
        <v>0</v>
      </c>
      <c r="G5" t="s">
        <v>38</v>
      </c>
      <c r="H5">
        <v>8</v>
      </c>
      <c r="I5">
        <v>534</v>
      </c>
      <c r="J5">
        <v>4813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28841.6257595276</v>
      </c>
      <c r="S5">
        <v>36731.221089840197</v>
      </c>
      <c r="T5">
        <v>28860.6545275715</v>
      </c>
      <c r="U5">
        <v>28860.5638613806</v>
      </c>
      <c r="V5">
        <v>0</v>
      </c>
      <c r="W5">
        <v>286404</v>
      </c>
      <c r="X5">
        <v>18000.035819053599</v>
      </c>
      <c r="Y5">
        <v>18000</v>
      </c>
      <c r="AC5" t="s">
        <v>39</v>
      </c>
      <c r="AD5">
        <v>8</v>
      </c>
      <c r="AE5">
        <v>534</v>
      </c>
      <c r="AF5">
        <v>4813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28841.6257595276</v>
      </c>
      <c r="AO5">
        <v>34529.027062082503</v>
      </c>
      <c r="AP5">
        <v>28863.904295527602</v>
      </c>
      <c r="AQ5">
        <v>28863.841005654202</v>
      </c>
      <c r="AR5">
        <v>0</v>
      </c>
      <c r="AS5">
        <v>68447</v>
      </c>
      <c r="AT5">
        <v>18000.119596958099</v>
      </c>
      <c r="AU5">
        <v>18000</v>
      </c>
    </row>
    <row r="6" spans="1:47" x14ac:dyDescent="0.35">
      <c r="A6">
        <f t="shared" si="0"/>
        <v>27.834333076117009</v>
      </c>
      <c r="B6">
        <f t="shared" si="1"/>
        <v>18.93136124381471</v>
      </c>
      <c r="C6">
        <f t="shared" si="2"/>
        <v>8.2571560964642091E-2</v>
      </c>
      <c r="D6">
        <f t="shared" si="3"/>
        <v>0</v>
      </c>
      <c r="E6">
        <f t="shared" si="4"/>
        <v>0</v>
      </c>
      <c r="G6" t="s">
        <v>38</v>
      </c>
      <c r="H6">
        <v>8</v>
      </c>
      <c r="I6">
        <v>534</v>
      </c>
      <c r="J6">
        <v>4813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28860.7071931276</v>
      </c>
      <c r="S6">
        <v>36893.892561385597</v>
      </c>
      <c r="T6">
        <v>28884.681174699501</v>
      </c>
      <c r="U6">
        <v>28884.537929562401</v>
      </c>
      <c r="V6">
        <v>0</v>
      </c>
      <c r="W6">
        <v>254364</v>
      </c>
      <c r="X6">
        <v>18000.086507797201</v>
      </c>
      <c r="Y6">
        <v>18000</v>
      </c>
      <c r="AC6" t="s">
        <v>39</v>
      </c>
      <c r="AD6">
        <v>8</v>
      </c>
      <c r="AE6">
        <v>534</v>
      </c>
      <c r="AF6">
        <v>4813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28860.7071931276</v>
      </c>
      <c r="AO6">
        <v>34324.431929378203</v>
      </c>
      <c r="AP6">
        <v>28884.6299867743</v>
      </c>
      <c r="AQ6">
        <v>28884.537929562401</v>
      </c>
      <c r="AR6">
        <v>0</v>
      </c>
      <c r="AS6">
        <v>41706</v>
      </c>
      <c r="AT6">
        <v>18000.231591939901</v>
      </c>
      <c r="AU6">
        <v>18000</v>
      </c>
    </row>
    <row r="7" spans="1:47" x14ac:dyDescent="0.35">
      <c r="A7">
        <f t="shared" si="0"/>
        <v>26.854929687975481</v>
      </c>
      <c r="B7">
        <f t="shared" si="1"/>
        <v>19.253329372401279</v>
      </c>
      <c r="C7">
        <f t="shared" si="2"/>
        <v>0.17953220573033396</v>
      </c>
      <c r="D7">
        <f t="shared" si="3"/>
        <v>0</v>
      </c>
      <c r="E7">
        <f t="shared" si="4"/>
        <v>0</v>
      </c>
      <c r="G7" t="s">
        <v>38</v>
      </c>
      <c r="H7">
        <v>8</v>
      </c>
      <c r="I7">
        <v>534</v>
      </c>
      <c r="J7">
        <v>4813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28760.6797346192</v>
      </c>
      <c r="S7">
        <v>36484.340055134999</v>
      </c>
      <c r="T7">
        <v>28812.399972665498</v>
      </c>
      <c r="U7">
        <v>28812.314417329799</v>
      </c>
      <c r="V7">
        <v>0</v>
      </c>
      <c r="W7">
        <v>268529</v>
      </c>
      <c r="X7">
        <v>18000.094329833901</v>
      </c>
      <c r="Y7">
        <v>18000</v>
      </c>
      <c r="AC7" t="s">
        <v>39</v>
      </c>
      <c r="AD7">
        <v>8</v>
      </c>
      <c r="AE7">
        <v>534</v>
      </c>
      <c r="AF7">
        <v>4813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28760.6797346192</v>
      </c>
      <c r="AO7">
        <v>34298.0681336669</v>
      </c>
      <c r="AP7">
        <v>28812.385780658999</v>
      </c>
      <c r="AQ7">
        <v>28812.314417329799</v>
      </c>
      <c r="AR7">
        <v>0</v>
      </c>
      <c r="AS7">
        <v>106287</v>
      </c>
      <c r="AT7">
        <v>18000.343768119801</v>
      </c>
      <c r="AU7">
        <v>18000</v>
      </c>
    </row>
    <row r="8" spans="1:47" x14ac:dyDescent="0.35">
      <c r="A8">
        <f t="shared" si="0"/>
        <v>27.76617610249254</v>
      </c>
      <c r="B8">
        <f t="shared" si="1"/>
        <v>19.104289285385541</v>
      </c>
      <c r="C8">
        <f t="shared" si="2"/>
        <v>0.11599354905907722</v>
      </c>
      <c r="D8">
        <f t="shared" si="3"/>
        <v>0</v>
      </c>
      <c r="E8">
        <f t="shared" si="4"/>
        <v>0</v>
      </c>
      <c r="G8" t="s">
        <v>38</v>
      </c>
      <c r="H8">
        <v>8</v>
      </c>
      <c r="I8">
        <v>534</v>
      </c>
      <c r="J8">
        <v>4813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28802.376413264501</v>
      </c>
      <c r="S8">
        <v>36799.694969874297</v>
      </c>
      <c r="T8">
        <v>28828.292629005598</v>
      </c>
      <c r="U8">
        <v>28828.162911822601</v>
      </c>
      <c r="V8">
        <v>0</v>
      </c>
      <c r="W8">
        <v>244102</v>
      </c>
      <c r="X8">
        <v>18000.059691905899</v>
      </c>
      <c r="Y8">
        <v>18000</v>
      </c>
      <c r="AC8" t="s">
        <v>39</v>
      </c>
      <c r="AD8">
        <v>8</v>
      </c>
      <c r="AE8">
        <v>534</v>
      </c>
      <c r="AF8">
        <v>4813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28802.376413264501</v>
      </c>
      <c r="AO8">
        <v>34304.865724320203</v>
      </c>
      <c r="AP8">
        <v>28835.9345438085</v>
      </c>
      <c r="AQ8">
        <v>28835.785311879601</v>
      </c>
      <c r="AR8">
        <v>0</v>
      </c>
      <c r="AS8">
        <v>65480</v>
      </c>
      <c r="AT8">
        <v>18000.2393832206</v>
      </c>
      <c r="AU8">
        <v>18000</v>
      </c>
    </row>
    <row r="9" spans="1:47" x14ac:dyDescent="0.35">
      <c r="A9">
        <f t="shared" si="0"/>
        <v>27.118030021575969</v>
      </c>
      <c r="B9">
        <f t="shared" si="1"/>
        <v>19.433673064831876</v>
      </c>
      <c r="C9">
        <f t="shared" si="2"/>
        <v>3.4522502876285319E-2</v>
      </c>
      <c r="D9">
        <f t="shared" si="3"/>
        <v>0</v>
      </c>
      <c r="E9">
        <f t="shared" si="4"/>
        <v>0</v>
      </c>
      <c r="G9" t="s">
        <v>38</v>
      </c>
      <c r="H9">
        <v>8</v>
      </c>
      <c r="I9">
        <v>534</v>
      </c>
      <c r="J9">
        <v>4813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28637.6176169178</v>
      </c>
      <c r="S9">
        <v>36403.575359737697</v>
      </c>
      <c r="T9">
        <v>28666.726461890899</v>
      </c>
      <c r="U9">
        <v>28666.5011225382</v>
      </c>
      <c r="V9">
        <v>0</v>
      </c>
      <c r="W9">
        <v>287994</v>
      </c>
      <c r="X9">
        <v>18000.1054348945</v>
      </c>
      <c r="Y9">
        <v>18000</v>
      </c>
      <c r="AC9" t="s">
        <v>39</v>
      </c>
      <c r="AD9">
        <v>8</v>
      </c>
      <c r="AE9">
        <v>534</v>
      </c>
      <c r="AF9">
        <v>4813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28637.6176169178</v>
      </c>
      <c r="AO9">
        <v>34202.958598146302</v>
      </c>
      <c r="AP9">
        <v>28647.647755528302</v>
      </c>
      <c r="AQ9">
        <v>28647.5040392833</v>
      </c>
      <c r="AR9">
        <v>0</v>
      </c>
      <c r="AS9">
        <v>52512</v>
      </c>
      <c r="AT9">
        <v>18000.165408849702</v>
      </c>
      <c r="AU9">
        <v>18000</v>
      </c>
    </row>
    <row r="10" spans="1:47" x14ac:dyDescent="0.35">
      <c r="A10">
        <f t="shared" si="0"/>
        <v>26.311055457534323</v>
      </c>
      <c r="B10">
        <f t="shared" si="1"/>
        <v>18.962791452218948</v>
      </c>
      <c r="C10">
        <f t="shared" si="2"/>
        <v>5.0783378343212966E-3</v>
      </c>
      <c r="D10">
        <f t="shared" si="3"/>
        <v>0</v>
      </c>
      <c r="E10">
        <f t="shared" si="4"/>
        <v>0</v>
      </c>
      <c r="G10" t="s">
        <v>38</v>
      </c>
      <c r="H10">
        <v>8</v>
      </c>
      <c r="I10">
        <v>534</v>
      </c>
      <c r="J10">
        <v>4813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28767.677450080599</v>
      </c>
      <c r="S10">
        <v>36336.7570178159</v>
      </c>
      <c r="T10">
        <v>28769.292403059899</v>
      </c>
      <c r="U10">
        <v>28769.138369928602</v>
      </c>
      <c r="V10">
        <v>0</v>
      </c>
      <c r="W10">
        <v>316987</v>
      </c>
      <c r="X10">
        <v>18000.0970430374</v>
      </c>
      <c r="Y10">
        <v>18000</v>
      </c>
      <c r="AC10" t="s">
        <v>39</v>
      </c>
      <c r="AD10">
        <v>8</v>
      </c>
      <c r="AE10">
        <v>534</v>
      </c>
      <c r="AF10">
        <v>4813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28767.677450080599</v>
      </c>
      <c r="AO10">
        <v>34222.832130586401</v>
      </c>
      <c r="AP10">
        <v>28769.1882740566</v>
      </c>
      <c r="AQ10">
        <v>28769.138369928602</v>
      </c>
      <c r="AR10">
        <v>0</v>
      </c>
      <c r="AS10">
        <v>63697</v>
      </c>
      <c r="AT10">
        <v>18000.069472074501</v>
      </c>
      <c r="AU10">
        <v>18000</v>
      </c>
    </row>
    <row r="11" spans="1:47" x14ac:dyDescent="0.35">
      <c r="A11">
        <f t="shared" si="0"/>
        <v>25.116986141980309</v>
      </c>
      <c r="B11">
        <f t="shared" si="1"/>
        <v>18.851212342154692</v>
      </c>
      <c r="C11">
        <f t="shared" si="2"/>
        <v>1.2979643623708164E-2</v>
      </c>
      <c r="D11">
        <f t="shared" si="3"/>
        <v>0</v>
      </c>
      <c r="E11">
        <f t="shared" si="4"/>
        <v>0</v>
      </c>
      <c r="G11" t="s">
        <v>38</v>
      </c>
      <c r="H11">
        <v>8</v>
      </c>
      <c r="I11">
        <v>534</v>
      </c>
      <c r="J11">
        <v>4813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28537.533750445298</v>
      </c>
      <c r="S11">
        <v>35705.302147807597</v>
      </c>
      <c r="T11">
        <v>28541.242267703699</v>
      </c>
      <c r="U11">
        <v>28541.237820625101</v>
      </c>
      <c r="V11">
        <v>0</v>
      </c>
      <c r="W11">
        <v>311642</v>
      </c>
      <c r="X11">
        <v>18000.168454885399</v>
      </c>
      <c r="Y11">
        <v>18000</v>
      </c>
      <c r="AC11" t="s">
        <v>39</v>
      </c>
      <c r="AD11">
        <v>8</v>
      </c>
      <c r="AE11">
        <v>534</v>
      </c>
      <c r="AF11">
        <v>4813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28537.533750445298</v>
      </c>
      <c r="AO11">
        <v>33917.204834955803</v>
      </c>
      <c r="AP11">
        <v>28541.252000602301</v>
      </c>
      <c r="AQ11">
        <v>28541.237820625101</v>
      </c>
      <c r="AR11">
        <v>0</v>
      </c>
      <c r="AS11">
        <v>19524</v>
      </c>
      <c r="AT11">
        <v>18000.167894124901</v>
      </c>
      <c r="AU11">
        <v>18000</v>
      </c>
    </row>
    <row r="13" spans="1:47" x14ac:dyDescent="0.35">
      <c r="A13" s="1">
        <f t="shared" ref="A13:B13" si="5">AVERAGE(A2:A11)</f>
        <v>26.764807158322242</v>
      </c>
      <c r="B13" s="1">
        <f t="shared" si="5"/>
        <v>19.029897088367367</v>
      </c>
      <c r="C13" s="1">
        <f>AVERAGE(C2:C11)</f>
        <v>5.9360748857717006E-2</v>
      </c>
      <c r="D13" s="1">
        <f t="shared" ref="D13:E13" si="6">AVERAGE(D2:D11)</f>
        <v>0</v>
      </c>
      <c r="E13" s="1">
        <f t="shared" si="6"/>
        <v>0</v>
      </c>
      <c r="F13" t="s">
        <v>25</v>
      </c>
    </row>
    <row r="14" spans="1:47" x14ac:dyDescent="0.35">
      <c r="A14" s="1">
        <f t="shared" ref="A14:B14" si="7">_xlfn.STDEV.S(A2:A11)/SQRT(COUNT(A2:A11))</f>
        <v>0.30958217431797491</v>
      </c>
      <c r="B14" s="1">
        <f t="shared" si="7"/>
        <v>0.11187721869735234</v>
      </c>
      <c r="C14" s="1">
        <f>_xlfn.STDEV.S(C2:C11)/SQRT(COUNT(C2:C11))</f>
        <v>1.7834315821798192E-2</v>
      </c>
      <c r="D14" s="1">
        <f t="shared" ref="D14:E14" si="8">_xlfn.STDEV.S(D2:D11)/SQRT(COUNT(D2:D11))</f>
        <v>0</v>
      </c>
      <c r="E14" s="1">
        <f t="shared" si="8"/>
        <v>0</v>
      </c>
      <c r="F14" t="s">
        <v>26</v>
      </c>
    </row>
    <row r="15" spans="1:47" x14ac:dyDescent="0.35">
      <c r="A15" s="1">
        <f t="shared" ref="A15:B15" si="9">MAX(A2:A11)</f>
        <v>27.834333076117009</v>
      </c>
      <c r="B15" s="1">
        <f t="shared" si="9"/>
        <v>19.719419945237018</v>
      </c>
      <c r="C15" s="1">
        <f>MAX(C2:C11)</f>
        <v>0.17953220573033396</v>
      </c>
      <c r="D15" s="1">
        <f t="shared" ref="D15:E15" si="10">MAX(D2:D11)</f>
        <v>0</v>
      </c>
      <c r="E15" s="1">
        <f t="shared" si="10"/>
        <v>0</v>
      </c>
      <c r="F15" t="s">
        <v>27</v>
      </c>
    </row>
    <row r="16" spans="1:47" x14ac:dyDescent="0.35">
      <c r="A16" s="1">
        <f t="shared" ref="A16:B16" si="11">MIN(A2:A11)</f>
        <v>25.116986141980309</v>
      </c>
      <c r="B16" s="1">
        <f t="shared" si="11"/>
        <v>18.597653859514264</v>
      </c>
      <c r="C16" s="1">
        <f>MIN(C2:C11)</f>
        <v>5.0783378343212966E-3</v>
      </c>
      <c r="D16" s="1">
        <f t="shared" ref="D16:E16" si="12">MIN(D2:D11)</f>
        <v>0</v>
      </c>
      <c r="E16" s="1">
        <f t="shared" si="12"/>
        <v>0</v>
      </c>
      <c r="F16" t="s">
        <v>28</v>
      </c>
    </row>
    <row r="17" spans="1:6" x14ac:dyDescent="0.35">
      <c r="A17" s="1">
        <f t="shared" ref="A17:C17" si="13">SUM(A2:A11)</f>
        <v>267.64807158322242</v>
      </c>
      <c r="B17" s="1">
        <f t="shared" si="13"/>
        <v>190.29897088367366</v>
      </c>
      <c r="C17" s="1">
        <f t="shared" si="13"/>
        <v>0.59360748857717005</v>
      </c>
      <c r="D17" s="1">
        <f>SUM(D2:D11)</f>
        <v>0</v>
      </c>
      <c r="E17" s="1">
        <f>SUM(E2:E11)</f>
        <v>0</v>
      </c>
      <c r="F1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FAF9-3847-4876-8A21-E99DBC5F6337}">
  <dimension ref="A1:AU17"/>
  <sheetViews>
    <sheetView workbookViewId="0">
      <pane ySplit="1" topLeftCell="A2" activePane="bottomLeft" state="frozen"/>
      <selection pane="bottomLeft" activeCell="AC1" sqref="AC1:AU11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90.395637770528126</v>
      </c>
      <c r="B2">
        <f>(AO2-AN2)/AN2*100</f>
        <v>22.690929854942983</v>
      </c>
      <c r="C2">
        <f>(AQ2-AN2)/AN2*100</f>
        <v>0</v>
      </c>
      <c r="D2">
        <f>IF(X2&lt;Y2,1,0)</f>
        <v>0</v>
      </c>
      <c r="E2">
        <f>IF(AT2&lt;AU2,1,0)</f>
        <v>0</v>
      </c>
      <c r="G2" t="s">
        <v>36</v>
      </c>
      <c r="H2">
        <v>7</v>
      </c>
      <c r="I2">
        <v>747</v>
      </c>
      <c r="J2">
        <v>30025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40220.740723084098</v>
      </c>
      <c r="S2">
        <v>76578.535815746494</v>
      </c>
      <c r="T2">
        <v>40220.740723084098</v>
      </c>
      <c r="U2">
        <v>40220.740723084098</v>
      </c>
      <c r="V2">
        <v>0</v>
      </c>
      <c r="W2">
        <v>15370</v>
      </c>
      <c r="X2">
        <v>18000.681054115201</v>
      </c>
      <c r="Y2">
        <v>18000</v>
      </c>
      <c r="AC2" t="s">
        <v>37</v>
      </c>
      <c r="AD2">
        <v>7</v>
      </c>
      <c r="AE2">
        <v>747</v>
      </c>
      <c r="AF2">
        <v>30025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40220.740723084098</v>
      </c>
      <c r="AO2">
        <v>49347.200787697599</v>
      </c>
      <c r="AP2">
        <v>40220.740723084098</v>
      </c>
      <c r="AQ2">
        <v>40220.740723084098</v>
      </c>
      <c r="AR2">
        <v>0</v>
      </c>
      <c r="AS2">
        <v>255</v>
      </c>
      <c r="AT2">
        <v>18000.425387859301</v>
      </c>
      <c r="AU2">
        <v>18000</v>
      </c>
    </row>
    <row r="3" spans="1:47" x14ac:dyDescent="0.35">
      <c r="A3">
        <f t="shared" ref="A3:A11" si="0">(-R3+S3)/R3*100</f>
        <v>90.618290749345647</v>
      </c>
      <c r="B3">
        <f t="shared" ref="B3:B11" si="1">(AO3-AN3)/AN3*100</f>
        <v>22.708774398066769</v>
      </c>
      <c r="C3">
        <f t="shared" ref="C3:C11" si="2">(AQ3-AN3)/AN3*100</f>
        <v>4.5796113313850209E-3</v>
      </c>
      <c r="D3">
        <f t="shared" ref="D3:D11" si="3">IF(X3&lt;Y3,1,0)</f>
        <v>0</v>
      </c>
      <c r="E3">
        <f t="shared" ref="E3:E11" si="4">IF(AT3&lt;AU3,1,0)</f>
        <v>0</v>
      </c>
      <c r="G3" t="s">
        <v>36</v>
      </c>
      <c r="H3">
        <v>7</v>
      </c>
      <c r="I3">
        <v>747</v>
      </c>
      <c r="J3">
        <v>30025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40626.030024633998</v>
      </c>
      <c r="S3">
        <v>77440.644032273296</v>
      </c>
      <c r="T3">
        <v>40626.030024633998</v>
      </c>
      <c r="U3">
        <v>40626.030024633998</v>
      </c>
      <c r="V3">
        <v>0</v>
      </c>
      <c r="W3">
        <v>14639</v>
      </c>
      <c r="X3">
        <v>18000.446130990898</v>
      </c>
      <c r="Y3">
        <v>18000</v>
      </c>
      <c r="AC3" t="s">
        <v>37</v>
      </c>
      <c r="AD3">
        <v>7</v>
      </c>
      <c r="AE3">
        <v>747</v>
      </c>
      <c r="AF3">
        <v>30025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40626.030024633998</v>
      </c>
      <c r="AO3">
        <v>49851.703529819002</v>
      </c>
      <c r="AP3">
        <v>40627.890538908498</v>
      </c>
      <c r="AQ3">
        <v>40627.890538908498</v>
      </c>
      <c r="AR3">
        <v>0</v>
      </c>
      <c r="AS3">
        <v>532</v>
      </c>
      <c r="AT3">
        <v>18000.504840135502</v>
      </c>
      <c r="AU3">
        <v>18000</v>
      </c>
    </row>
    <row r="4" spans="1:47" x14ac:dyDescent="0.35">
      <c r="A4">
        <f t="shared" si="0"/>
        <v>90.123563443360723</v>
      </c>
      <c r="B4">
        <f t="shared" si="1"/>
        <v>22.929136679388083</v>
      </c>
      <c r="C4">
        <f t="shared" si="2"/>
        <v>0</v>
      </c>
      <c r="D4">
        <f t="shared" si="3"/>
        <v>0</v>
      </c>
      <c r="E4">
        <f t="shared" si="4"/>
        <v>0</v>
      </c>
      <c r="G4" t="s">
        <v>36</v>
      </c>
      <c r="H4">
        <v>7</v>
      </c>
      <c r="I4">
        <v>747</v>
      </c>
      <c r="J4">
        <v>30025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40144.723058226598</v>
      </c>
      <c r="S4">
        <v>76324.578012768907</v>
      </c>
      <c r="T4">
        <v>40144.723058226598</v>
      </c>
      <c r="U4">
        <v>40144.723058226598</v>
      </c>
      <c r="V4">
        <v>0</v>
      </c>
      <c r="W4">
        <v>14921</v>
      </c>
      <c r="X4">
        <v>18000.5119929313</v>
      </c>
      <c r="Y4">
        <v>18000</v>
      </c>
      <c r="AC4" t="s">
        <v>37</v>
      </c>
      <c r="AD4">
        <v>7</v>
      </c>
      <c r="AE4">
        <v>747</v>
      </c>
      <c r="AF4">
        <v>30025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40144.723058226598</v>
      </c>
      <c r="AO4">
        <v>49349.561477809199</v>
      </c>
      <c r="AP4">
        <v>40144.723058226598</v>
      </c>
      <c r="AQ4">
        <v>40144.723058226598</v>
      </c>
      <c r="AR4">
        <v>0</v>
      </c>
      <c r="AS4">
        <v>1254</v>
      </c>
      <c r="AT4">
        <v>18000.334221124602</v>
      </c>
      <c r="AU4">
        <v>18000</v>
      </c>
    </row>
    <row r="5" spans="1:47" x14ac:dyDescent="0.35">
      <c r="A5">
        <f t="shared" si="0"/>
        <v>91.559523457544543</v>
      </c>
      <c r="B5">
        <f t="shared" si="1"/>
        <v>22.878806251709698</v>
      </c>
      <c r="C5">
        <f t="shared" si="2"/>
        <v>0</v>
      </c>
      <c r="D5">
        <f t="shared" si="3"/>
        <v>0</v>
      </c>
      <c r="E5">
        <f t="shared" si="4"/>
        <v>0</v>
      </c>
      <c r="G5" t="s">
        <v>36</v>
      </c>
      <c r="H5">
        <v>7</v>
      </c>
      <c r="I5">
        <v>747</v>
      </c>
      <c r="J5">
        <v>30025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40272.638825190297</v>
      </c>
      <c r="S5">
        <v>77146.0750173126</v>
      </c>
      <c r="T5">
        <v>40272.677632113096</v>
      </c>
      <c r="U5">
        <v>40272.638825190297</v>
      </c>
      <c r="V5">
        <v>0</v>
      </c>
      <c r="W5">
        <v>15236</v>
      </c>
      <c r="X5">
        <v>18000.613665103901</v>
      </c>
      <c r="Y5">
        <v>18000</v>
      </c>
      <c r="AC5" t="s">
        <v>37</v>
      </c>
      <c r="AD5">
        <v>7</v>
      </c>
      <c r="AE5">
        <v>747</v>
      </c>
      <c r="AF5">
        <v>30025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40272.638825190297</v>
      </c>
      <c r="AO5">
        <v>49486.537834456401</v>
      </c>
      <c r="AP5">
        <v>40272.638825190297</v>
      </c>
      <c r="AQ5">
        <v>40272.638825190297</v>
      </c>
      <c r="AR5">
        <v>0</v>
      </c>
      <c r="AS5">
        <v>229</v>
      </c>
      <c r="AT5">
        <v>18000.660049915299</v>
      </c>
      <c r="AU5">
        <v>18000</v>
      </c>
    </row>
    <row r="6" spans="1:47" x14ac:dyDescent="0.35">
      <c r="A6">
        <f t="shared" si="0"/>
        <v>92.263605284308014</v>
      </c>
      <c r="B6">
        <f t="shared" si="1"/>
        <v>22.712437189689883</v>
      </c>
      <c r="C6">
        <f t="shared" si="2"/>
        <v>0</v>
      </c>
      <c r="D6">
        <f t="shared" si="3"/>
        <v>0</v>
      </c>
      <c r="E6">
        <f t="shared" si="4"/>
        <v>0</v>
      </c>
      <c r="G6" t="s">
        <v>36</v>
      </c>
      <c r="H6">
        <v>7</v>
      </c>
      <c r="I6">
        <v>747</v>
      </c>
      <c r="J6">
        <v>30025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40248.972538732298</v>
      </c>
      <c r="S6">
        <v>77384.125692857793</v>
      </c>
      <c r="T6">
        <v>40248.972538732298</v>
      </c>
      <c r="U6">
        <v>40248.972538732298</v>
      </c>
      <c r="V6">
        <v>0</v>
      </c>
      <c r="W6">
        <v>15201</v>
      </c>
      <c r="X6">
        <v>18000.582932949001</v>
      </c>
      <c r="Y6">
        <v>18000</v>
      </c>
      <c r="AC6" t="s">
        <v>37</v>
      </c>
      <c r="AD6">
        <v>7</v>
      </c>
      <c r="AE6">
        <v>747</v>
      </c>
      <c r="AF6">
        <v>30025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40248.972538732298</v>
      </c>
      <c r="AO6">
        <v>49390.4951460874</v>
      </c>
      <c r="AP6">
        <v>40248.972538732298</v>
      </c>
      <c r="AQ6">
        <v>40248.972538732298</v>
      </c>
      <c r="AR6">
        <v>0</v>
      </c>
      <c r="AS6">
        <v>1928</v>
      </c>
      <c r="AT6">
        <v>18000.256253004001</v>
      </c>
      <c r="AU6">
        <v>18000</v>
      </c>
    </row>
    <row r="7" spans="1:47" x14ac:dyDescent="0.35">
      <c r="A7">
        <f t="shared" si="0"/>
        <v>90.420926959887893</v>
      </c>
      <c r="B7">
        <f t="shared" si="1"/>
        <v>22.150762808483798</v>
      </c>
      <c r="C7">
        <f t="shared" si="2"/>
        <v>0</v>
      </c>
      <c r="D7">
        <f t="shared" si="3"/>
        <v>0</v>
      </c>
      <c r="E7">
        <f t="shared" si="4"/>
        <v>0</v>
      </c>
      <c r="G7" t="s">
        <v>36</v>
      </c>
      <c r="H7">
        <v>7</v>
      </c>
      <c r="I7">
        <v>747</v>
      </c>
      <c r="J7">
        <v>30025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40271.233028260198</v>
      </c>
      <c r="S7">
        <v>76684.855230589601</v>
      </c>
      <c r="T7">
        <v>40271.233028260103</v>
      </c>
      <c r="U7">
        <v>40271.233028260198</v>
      </c>
      <c r="V7">
        <v>0</v>
      </c>
      <c r="W7">
        <v>15507</v>
      </c>
      <c r="X7">
        <v>18000.448748111699</v>
      </c>
      <c r="Y7">
        <v>18000</v>
      </c>
      <c r="AC7" t="s">
        <v>37</v>
      </c>
      <c r="AD7">
        <v>7</v>
      </c>
      <c r="AE7">
        <v>747</v>
      </c>
      <c r="AF7">
        <v>30025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40271.233028260198</v>
      </c>
      <c r="AO7">
        <v>49191.618336401902</v>
      </c>
      <c r="AP7">
        <v>40271.233028260103</v>
      </c>
      <c r="AQ7">
        <v>40271.233028260198</v>
      </c>
      <c r="AR7">
        <v>0</v>
      </c>
      <c r="AS7">
        <v>444</v>
      </c>
      <c r="AT7">
        <v>18000.2582890987</v>
      </c>
      <c r="AU7">
        <v>18000</v>
      </c>
    </row>
    <row r="8" spans="1:47" x14ac:dyDescent="0.35">
      <c r="A8">
        <f t="shared" si="0"/>
        <v>90.360088569570337</v>
      </c>
      <c r="B8">
        <f t="shared" si="1"/>
        <v>22.513144640172136</v>
      </c>
      <c r="C8">
        <f t="shared" si="2"/>
        <v>0</v>
      </c>
      <c r="D8">
        <f t="shared" si="3"/>
        <v>0</v>
      </c>
      <c r="E8">
        <f t="shared" si="4"/>
        <v>0</v>
      </c>
      <c r="G8" t="s">
        <v>36</v>
      </c>
      <c r="H8">
        <v>7</v>
      </c>
      <c r="I8">
        <v>747</v>
      </c>
      <c r="J8">
        <v>30025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40520.556130028701</v>
      </c>
      <c r="S8">
        <v>77134.966538005101</v>
      </c>
      <c r="T8">
        <v>40520.556130028701</v>
      </c>
      <c r="U8">
        <v>40520.556130028701</v>
      </c>
      <c r="V8">
        <v>0</v>
      </c>
      <c r="W8">
        <v>15046</v>
      </c>
      <c r="X8">
        <v>18000.4821531772</v>
      </c>
      <c r="Y8">
        <v>18000</v>
      </c>
      <c r="AC8" t="s">
        <v>37</v>
      </c>
      <c r="AD8">
        <v>7</v>
      </c>
      <c r="AE8">
        <v>747</v>
      </c>
      <c r="AF8">
        <v>30025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40520.556130028701</v>
      </c>
      <c r="AO8">
        <v>49643.0075405842</v>
      </c>
      <c r="AP8">
        <v>40520.556130028701</v>
      </c>
      <c r="AQ8">
        <v>40520.556130028701</v>
      </c>
      <c r="AR8">
        <v>0</v>
      </c>
      <c r="AS8">
        <v>338</v>
      </c>
      <c r="AT8">
        <v>18000.232959032001</v>
      </c>
      <c r="AU8">
        <v>18000</v>
      </c>
    </row>
    <row r="9" spans="1:47" x14ac:dyDescent="0.35">
      <c r="A9">
        <f t="shared" si="0"/>
        <v>89.754669671970618</v>
      </c>
      <c r="B9">
        <f t="shared" si="1"/>
        <v>22.104059600074251</v>
      </c>
      <c r="C9">
        <f t="shared" si="2"/>
        <v>0</v>
      </c>
      <c r="D9">
        <f t="shared" si="3"/>
        <v>0</v>
      </c>
      <c r="E9">
        <f t="shared" si="4"/>
        <v>0</v>
      </c>
      <c r="G9" t="s">
        <v>36</v>
      </c>
      <c r="H9">
        <v>7</v>
      </c>
      <c r="I9">
        <v>747</v>
      </c>
      <c r="J9">
        <v>30025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40357.650861016198</v>
      </c>
      <c r="S9">
        <v>76580.527078688494</v>
      </c>
      <c r="T9">
        <v>40357.650861016104</v>
      </c>
      <c r="U9">
        <v>40357.650861016198</v>
      </c>
      <c r="V9">
        <v>0</v>
      </c>
      <c r="W9">
        <v>15303</v>
      </c>
      <c r="X9">
        <v>18000.542793989101</v>
      </c>
      <c r="Y9">
        <v>18000</v>
      </c>
      <c r="AC9" t="s">
        <v>37</v>
      </c>
      <c r="AD9">
        <v>7</v>
      </c>
      <c r="AE9">
        <v>747</v>
      </c>
      <c r="AF9">
        <v>30025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40357.650861016198</v>
      </c>
      <c r="AO9">
        <v>49278.330060525099</v>
      </c>
      <c r="AP9">
        <v>40357.690861016097</v>
      </c>
      <c r="AQ9">
        <v>40357.650861016198</v>
      </c>
      <c r="AR9">
        <v>0</v>
      </c>
      <c r="AS9">
        <v>3012</v>
      </c>
      <c r="AT9">
        <v>18000.312448978399</v>
      </c>
      <c r="AU9">
        <v>18000</v>
      </c>
    </row>
    <row r="10" spans="1:47" x14ac:dyDescent="0.35">
      <c r="A10">
        <f t="shared" si="0"/>
        <v>91.793129953174514</v>
      </c>
      <c r="B10">
        <f t="shared" si="1"/>
        <v>22.76355585702467</v>
      </c>
      <c r="C10">
        <f t="shared" si="2"/>
        <v>0</v>
      </c>
      <c r="D10">
        <f t="shared" si="3"/>
        <v>0</v>
      </c>
      <c r="E10">
        <f t="shared" si="4"/>
        <v>0</v>
      </c>
      <c r="G10" t="s">
        <v>36</v>
      </c>
      <c r="H10">
        <v>7</v>
      </c>
      <c r="I10">
        <v>747</v>
      </c>
      <c r="J10">
        <v>30025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40221.397799078397</v>
      </c>
      <c r="S10">
        <v>77141.877749769701</v>
      </c>
      <c r="T10">
        <v>40221.434734070703</v>
      </c>
      <c r="U10">
        <v>40221.397799078397</v>
      </c>
      <c r="V10">
        <v>0</v>
      </c>
      <c r="W10">
        <v>14432</v>
      </c>
      <c r="X10">
        <v>18000.856641054099</v>
      </c>
      <c r="Y10">
        <v>18000</v>
      </c>
      <c r="AC10" t="s">
        <v>37</v>
      </c>
      <c r="AD10">
        <v>7</v>
      </c>
      <c r="AE10">
        <v>747</v>
      </c>
      <c r="AF10">
        <v>30025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40221.397799078397</v>
      </c>
      <c r="AO10">
        <v>49377.218153547699</v>
      </c>
      <c r="AP10">
        <v>40221.397799078397</v>
      </c>
      <c r="AQ10">
        <v>40221.397799078397</v>
      </c>
      <c r="AR10">
        <v>0</v>
      </c>
      <c r="AS10">
        <v>2933</v>
      </c>
      <c r="AT10">
        <v>18000.211473941799</v>
      </c>
      <c r="AU10">
        <v>18000</v>
      </c>
    </row>
    <row r="11" spans="1:47" x14ac:dyDescent="0.35">
      <c r="A11">
        <f t="shared" si="0"/>
        <v>91.283309637534288</v>
      </c>
      <c r="B11">
        <f t="shared" si="1"/>
        <v>22.860271727790511</v>
      </c>
      <c r="C11">
        <f t="shared" si="2"/>
        <v>2.2996644862011952E-2</v>
      </c>
      <c r="D11">
        <f t="shared" si="3"/>
        <v>0</v>
      </c>
      <c r="E11">
        <f t="shared" si="4"/>
        <v>0</v>
      </c>
      <c r="G11" t="s">
        <v>36</v>
      </c>
      <c r="H11">
        <v>7</v>
      </c>
      <c r="I11">
        <v>747</v>
      </c>
      <c r="J11">
        <v>30025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40148.135991585899</v>
      </c>
      <c r="S11">
        <v>76796.683282483602</v>
      </c>
      <c r="T11">
        <v>40148.135991586001</v>
      </c>
      <c r="U11">
        <v>40148.135991585899</v>
      </c>
      <c r="V11">
        <v>0</v>
      </c>
      <c r="W11">
        <v>14664</v>
      </c>
      <c r="X11">
        <v>18000.9120469093</v>
      </c>
      <c r="Y11">
        <v>18000</v>
      </c>
      <c r="AC11" t="s">
        <v>37</v>
      </c>
      <c r="AD11">
        <v>7</v>
      </c>
      <c r="AE11">
        <v>747</v>
      </c>
      <c r="AF11">
        <v>30025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40148.135991585899</v>
      </c>
      <c r="AO11">
        <v>49326.108972905298</v>
      </c>
      <c r="AP11">
        <v>40157.368715838697</v>
      </c>
      <c r="AQ11">
        <v>40157.368715838602</v>
      </c>
      <c r="AR11">
        <v>0</v>
      </c>
      <c r="AS11">
        <v>191</v>
      </c>
      <c r="AT11">
        <v>18000.4495790004</v>
      </c>
      <c r="AU11">
        <v>18000</v>
      </c>
    </row>
    <row r="13" spans="1:47" x14ac:dyDescent="0.35">
      <c r="A13" s="1">
        <f t="shared" ref="A13:B13" si="5">AVERAGE(A2:A11)</f>
        <v>90.857274549722476</v>
      </c>
      <c r="B13" s="1">
        <f t="shared" si="5"/>
        <v>22.631187900734282</v>
      </c>
      <c r="C13" s="1">
        <f>AVERAGE(C2:C11)</f>
        <v>2.7576256193396972E-3</v>
      </c>
      <c r="D13" s="1">
        <f t="shared" ref="D13:E13" si="6">AVERAGE(D2:D11)</f>
        <v>0</v>
      </c>
      <c r="E13" s="1">
        <f t="shared" si="6"/>
        <v>0</v>
      </c>
      <c r="F13" t="s">
        <v>25</v>
      </c>
    </row>
    <row r="14" spans="1:47" x14ac:dyDescent="0.35">
      <c r="A14" s="1">
        <f t="shared" ref="A14:B14" si="7">_xlfn.STDEV.S(A2:A11)/SQRT(COUNT(A2:A11))</f>
        <v>0.25798654768109591</v>
      </c>
      <c r="B14" s="1">
        <f t="shared" si="7"/>
        <v>9.1826281442118782E-2</v>
      </c>
      <c r="C14" s="1">
        <f>_xlfn.STDEV.S(C2:C11)/SQRT(COUNT(C2:C11))</f>
        <v>2.2943736116655851E-3</v>
      </c>
      <c r="D14" s="1">
        <f t="shared" ref="D14:E14" si="8">_xlfn.STDEV.S(D2:D11)/SQRT(COUNT(D2:D11))</f>
        <v>0</v>
      </c>
      <c r="E14" s="1">
        <f t="shared" si="8"/>
        <v>0</v>
      </c>
      <c r="F14" t="s">
        <v>26</v>
      </c>
    </row>
    <row r="15" spans="1:47" x14ac:dyDescent="0.35">
      <c r="A15" s="1">
        <f t="shared" ref="A15:B15" si="9">MAX(A2:A11)</f>
        <v>92.263605284308014</v>
      </c>
      <c r="B15" s="1">
        <f t="shared" si="9"/>
        <v>22.929136679388083</v>
      </c>
      <c r="C15" s="1">
        <f>MAX(C2:C11)</f>
        <v>2.2996644862011952E-2</v>
      </c>
      <c r="D15" s="1">
        <f t="shared" ref="D15:E15" si="10">MAX(D2:D11)</f>
        <v>0</v>
      </c>
      <c r="E15" s="1">
        <f t="shared" si="10"/>
        <v>0</v>
      </c>
      <c r="F15" t="s">
        <v>27</v>
      </c>
    </row>
    <row r="16" spans="1:47" x14ac:dyDescent="0.35">
      <c r="A16" s="1">
        <f t="shared" ref="A16:B16" si="11">MIN(A2:A11)</f>
        <v>89.754669671970618</v>
      </c>
      <c r="B16" s="1">
        <f t="shared" si="11"/>
        <v>22.104059600074251</v>
      </c>
      <c r="C16" s="1">
        <f>MIN(C2:C11)</f>
        <v>0</v>
      </c>
      <c r="D16" s="1">
        <f t="shared" ref="D16:E16" si="12">MIN(D2:D11)</f>
        <v>0</v>
      </c>
      <c r="E16" s="1">
        <f t="shared" si="12"/>
        <v>0</v>
      </c>
      <c r="F16" t="s">
        <v>28</v>
      </c>
    </row>
    <row r="17" spans="1:6" x14ac:dyDescent="0.35">
      <c r="A17" s="1">
        <f t="shared" ref="A17:C17" si="13">SUM(A2:A11)</f>
        <v>908.57274549722479</v>
      </c>
      <c r="B17" s="1">
        <f t="shared" si="13"/>
        <v>226.31187900734281</v>
      </c>
      <c r="C17" s="1">
        <f t="shared" si="13"/>
        <v>2.7576256193396972E-2</v>
      </c>
      <c r="D17" s="1">
        <f>SUM(D2:D11)</f>
        <v>0</v>
      </c>
      <c r="E17" s="1">
        <f>SUM(E2:E11)</f>
        <v>0</v>
      </c>
      <c r="F17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5B0F-33CB-473C-846D-9AC2CFBF34B4}">
  <dimension ref="A1:AU17"/>
  <sheetViews>
    <sheetView workbookViewId="0">
      <pane ySplit="1" topLeftCell="A2" activePane="bottomLeft" state="frozen"/>
      <selection pane="bottomLeft" activeCell="AC1" sqref="AC1:AU11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40.650959711818338</v>
      </c>
      <c r="B2">
        <f>(AO2-AN2)/AN2*100</f>
        <v>21.104317330891785</v>
      </c>
      <c r="C2">
        <f>(AQ2-AN2)/AN2*100</f>
        <v>2.9976331937876587E-2</v>
      </c>
      <c r="D2">
        <f>IF(X2&lt;Y2,1,0)</f>
        <v>0</v>
      </c>
      <c r="E2">
        <f>IF(AT2&lt;AU2,1,0)</f>
        <v>0</v>
      </c>
      <c r="G2" t="s">
        <v>34</v>
      </c>
      <c r="H2">
        <v>6</v>
      </c>
      <c r="I2">
        <v>786</v>
      </c>
      <c r="J2">
        <v>14024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42230.015112034402</v>
      </c>
      <c r="S2">
        <v>59396.921541522301</v>
      </c>
      <c r="T2">
        <v>42230.015112034504</v>
      </c>
      <c r="U2">
        <v>42230.015112034402</v>
      </c>
      <c r="V2">
        <v>0</v>
      </c>
      <c r="W2">
        <v>15271</v>
      </c>
      <c r="X2">
        <v>18000.781112909299</v>
      </c>
      <c r="Y2">
        <v>18000</v>
      </c>
      <c r="AC2" t="s">
        <v>35</v>
      </c>
      <c r="AD2">
        <v>6</v>
      </c>
      <c r="AE2">
        <v>786</v>
      </c>
      <c r="AF2">
        <v>14024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42230.015112034402</v>
      </c>
      <c r="AO2">
        <v>51142.371510161698</v>
      </c>
      <c r="AP2">
        <v>42242.817487652799</v>
      </c>
      <c r="AQ2">
        <v>42242.674121541801</v>
      </c>
      <c r="AR2">
        <v>0</v>
      </c>
      <c r="AS2">
        <v>2996</v>
      </c>
      <c r="AT2">
        <v>18000.278037071199</v>
      </c>
      <c r="AU2">
        <v>18000</v>
      </c>
    </row>
    <row r="3" spans="1:47" x14ac:dyDescent="0.35">
      <c r="A3">
        <f t="shared" ref="A3:A11" si="0">(-R3+S3)/R3*100</f>
        <v>37.244788427857763</v>
      </c>
      <c r="B3">
        <f t="shared" ref="B3:B11" si="1">(AO3-AN3)/AN3*100</f>
        <v>20.623066753483798</v>
      </c>
      <c r="C3">
        <f t="shared" ref="C3:C11" si="2">(AQ3-AN3)/AN3*100</f>
        <v>8.7405942657523536E-2</v>
      </c>
      <c r="D3">
        <f t="shared" ref="D3:D11" si="3">IF(X3&lt;Y3,1,0)</f>
        <v>0</v>
      </c>
      <c r="E3">
        <f t="shared" ref="E3:E11" si="4">IF(AT3&lt;AU3,1,0)</f>
        <v>0</v>
      </c>
      <c r="G3" t="s">
        <v>34</v>
      </c>
      <c r="H3">
        <v>6</v>
      </c>
      <c r="I3">
        <v>786</v>
      </c>
      <c r="J3">
        <v>14024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42430.626159959</v>
      </c>
      <c r="S3">
        <v>58233.823101850998</v>
      </c>
      <c r="T3">
        <v>42430.695841084402</v>
      </c>
      <c r="U3">
        <v>42430.626159959</v>
      </c>
      <c r="V3">
        <v>0</v>
      </c>
      <c r="W3">
        <v>14944</v>
      </c>
      <c r="X3">
        <v>18000.412649154601</v>
      </c>
      <c r="Y3">
        <v>18000</v>
      </c>
      <c r="AC3" t="s">
        <v>35</v>
      </c>
      <c r="AD3">
        <v>6</v>
      </c>
      <c r="AE3">
        <v>786</v>
      </c>
      <c r="AF3">
        <v>14024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42430.626159959</v>
      </c>
      <c r="AO3">
        <v>51181.122516848503</v>
      </c>
      <c r="AP3">
        <v>42467.805604281602</v>
      </c>
      <c r="AQ3">
        <v>42467.713048729602</v>
      </c>
      <c r="AR3">
        <v>0</v>
      </c>
      <c r="AS3">
        <v>3032</v>
      </c>
      <c r="AT3">
        <v>18000.181005954699</v>
      </c>
      <c r="AU3">
        <v>18000</v>
      </c>
    </row>
    <row r="4" spans="1:47" x14ac:dyDescent="0.35">
      <c r="A4">
        <f t="shared" si="0"/>
        <v>37.214554912212598</v>
      </c>
      <c r="B4">
        <f t="shared" si="1"/>
        <v>24.915157703359458</v>
      </c>
      <c r="C4">
        <f t="shared" si="2"/>
        <v>3.8692562065381172E-2</v>
      </c>
      <c r="D4">
        <f t="shared" si="3"/>
        <v>0</v>
      </c>
      <c r="E4">
        <f t="shared" si="4"/>
        <v>0</v>
      </c>
      <c r="G4" t="s">
        <v>34</v>
      </c>
      <c r="H4">
        <v>6</v>
      </c>
      <c r="I4">
        <v>786</v>
      </c>
      <c r="J4">
        <v>14024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42154.051997490897</v>
      </c>
      <c r="S4">
        <v>57841.494825819798</v>
      </c>
      <c r="T4">
        <v>42154.051997490897</v>
      </c>
      <c r="U4">
        <v>42154.051997490897</v>
      </c>
      <c r="V4">
        <v>0</v>
      </c>
      <c r="W4">
        <v>14638</v>
      </c>
      <c r="X4">
        <v>18000.320564031601</v>
      </c>
      <c r="Y4">
        <v>18000</v>
      </c>
      <c r="AC4" t="s">
        <v>35</v>
      </c>
      <c r="AD4">
        <v>6</v>
      </c>
      <c r="AE4">
        <v>786</v>
      </c>
      <c r="AF4">
        <v>14024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42154.051997490897</v>
      </c>
      <c r="AO4">
        <v>52656.800531021901</v>
      </c>
      <c r="AP4">
        <v>42170.3627565266</v>
      </c>
      <c r="AQ4">
        <v>42170.362480223099</v>
      </c>
      <c r="AR4">
        <v>0</v>
      </c>
      <c r="AS4">
        <v>3108</v>
      </c>
      <c r="AT4">
        <v>18000.458035945801</v>
      </c>
      <c r="AU4">
        <v>18000</v>
      </c>
    </row>
    <row r="5" spans="1:47" x14ac:dyDescent="0.35">
      <c r="A5">
        <f t="shared" si="0"/>
        <v>45.599210479175774</v>
      </c>
      <c r="B5">
        <f t="shared" si="1"/>
        <v>20.500400834253131</v>
      </c>
      <c r="C5">
        <f t="shared" si="2"/>
        <v>6.6583980729722408E-2</v>
      </c>
      <c r="D5">
        <f t="shared" si="3"/>
        <v>0</v>
      </c>
      <c r="E5">
        <f t="shared" si="4"/>
        <v>0</v>
      </c>
      <c r="G5" t="s">
        <v>34</v>
      </c>
      <c r="H5">
        <v>6</v>
      </c>
      <c r="I5">
        <v>786</v>
      </c>
      <c r="J5">
        <v>14024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42397.1172705836</v>
      </c>
      <c r="S5">
        <v>61729.868011899998</v>
      </c>
      <c r="T5">
        <v>42397.1172705836</v>
      </c>
      <c r="U5">
        <v>42397.1172705836</v>
      </c>
      <c r="V5">
        <v>0</v>
      </c>
      <c r="W5">
        <v>15044</v>
      </c>
      <c r="X5">
        <v>18000.344602823199</v>
      </c>
      <c r="Y5">
        <v>18000</v>
      </c>
      <c r="AC5" t="s">
        <v>35</v>
      </c>
      <c r="AD5">
        <v>6</v>
      </c>
      <c r="AE5">
        <v>786</v>
      </c>
      <c r="AF5">
        <v>14024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42397.1172705836</v>
      </c>
      <c r="AO5">
        <v>51088.696253221598</v>
      </c>
      <c r="AP5">
        <v>42425.391200796497</v>
      </c>
      <c r="AQ5">
        <v>42425.346958977003</v>
      </c>
      <c r="AR5">
        <v>0</v>
      </c>
      <c r="AS5">
        <v>3052</v>
      </c>
      <c r="AT5">
        <v>18000.185838937701</v>
      </c>
      <c r="AU5">
        <v>18000</v>
      </c>
    </row>
    <row r="6" spans="1:47" x14ac:dyDescent="0.35">
      <c r="A6">
        <f t="shared" si="0"/>
        <v>46.39509895424267</v>
      </c>
      <c r="B6">
        <f t="shared" si="1"/>
        <v>24.922262202482816</v>
      </c>
      <c r="C6">
        <f t="shared" si="2"/>
        <v>0</v>
      </c>
      <c r="D6">
        <f t="shared" si="3"/>
        <v>0</v>
      </c>
      <c r="E6">
        <f t="shared" si="4"/>
        <v>0</v>
      </c>
      <c r="G6" t="s">
        <v>34</v>
      </c>
      <c r="H6">
        <v>6</v>
      </c>
      <c r="I6">
        <v>786</v>
      </c>
      <c r="J6">
        <v>14024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42326.159741110198</v>
      </c>
      <c r="S6">
        <v>61963.423436529098</v>
      </c>
      <c r="T6">
        <v>42326.222049829397</v>
      </c>
      <c r="U6">
        <v>42326.159741110198</v>
      </c>
      <c r="V6">
        <v>0</v>
      </c>
      <c r="W6">
        <v>14434</v>
      </c>
      <c r="X6">
        <v>18000.440742015799</v>
      </c>
      <c r="Y6">
        <v>18000</v>
      </c>
      <c r="AC6" t="s">
        <v>35</v>
      </c>
      <c r="AD6">
        <v>6</v>
      </c>
      <c r="AE6">
        <v>786</v>
      </c>
      <c r="AF6">
        <v>14024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42326.159741110198</v>
      </c>
      <c r="AO6">
        <v>52874.796252031403</v>
      </c>
      <c r="AP6">
        <v>42326.159741110103</v>
      </c>
      <c r="AQ6">
        <v>42326.159741110198</v>
      </c>
      <c r="AR6">
        <v>0</v>
      </c>
      <c r="AS6">
        <v>3162</v>
      </c>
      <c r="AT6">
        <v>18000.1989219188</v>
      </c>
      <c r="AU6">
        <v>18000</v>
      </c>
    </row>
    <row r="7" spans="1:47" x14ac:dyDescent="0.35">
      <c r="A7">
        <f t="shared" si="0"/>
        <v>37.310554528454603</v>
      </c>
      <c r="B7">
        <f t="shared" si="1"/>
        <v>21.542559949390505</v>
      </c>
      <c r="C7">
        <f t="shared" si="2"/>
        <v>0</v>
      </c>
      <c r="D7">
        <f t="shared" si="3"/>
        <v>0</v>
      </c>
      <c r="E7">
        <f t="shared" si="4"/>
        <v>0</v>
      </c>
      <c r="G7" t="s">
        <v>34</v>
      </c>
      <c r="H7">
        <v>6</v>
      </c>
      <c r="I7">
        <v>786</v>
      </c>
      <c r="J7">
        <v>14024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42179.8613469435</v>
      </c>
      <c r="S7">
        <v>57917.401514821402</v>
      </c>
      <c r="T7">
        <v>42179.8613469435</v>
      </c>
      <c r="U7">
        <v>42179.8613469435</v>
      </c>
      <c r="V7">
        <v>0</v>
      </c>
      <c r="W7">
        <v>14837</v>
      </c>
      <c r="X7">
        <v>18000.3689367771</v>
      </c>
      <c r="Y7">
        <v>18000</v>
      </c>
      <c r="AC7" t="s">
        <v>35</v>
      </c>
      <c r="AD7">
        <v>6</v>
      </c>
      <c r="AE7">
        <v>786</v>
      </c>
      <c r="AF7">
        <v>14024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42179.8613469435</v>
      </c>
      <c r="AO7">
        <v>51266.483264178598</v>
      </c>
      <c r="AP7">
        <v>42179.8613469435</v>
      </c>
      <c r="AQ7">
        <v>42179.8613469435</v>
      </c>
      <c r="AR7">
        <v>0</v>
      </c>
      <c r="AS7">
        <v>3082</v>
      </c>
      <c r="AT7">
        <v>18000.1879661083</v>
      </c>
      <c r="AU7">
        <v>18000</v>
      </c>
    </row>
    <row r="8" spans="1:47" x14ac:dyDescent="0.35">
      <c r="A8">
        <f t="shared" si="0"/>
        <v>36.454684780986241</v>
      </c>
      <c r="B8">
        <f t="shared" si="1"/>
        <v>20.342785995734747</v>
      </c>
      <c r="C8">
        <f t="shared" si="2"/>
        <v>3.7592553756878588E-3</v>
      </c>
      <c r="D8">
        <f t="shared" si="3"/>
        <v>0</v>
      </c>
      <c r="E8">
        <f t="shared" si="4"/>
        <v>0</v>
      </c>
      <c r="G8" t="s">
        <v>34</v>
      </c>
      <c r="H8">
        <v>6</v>
      </c>
      <c r="I8">
        <v>786</v>
      </c>
      <c r="J8">
        <v>14024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42228.740799710802</v>
      </c>
      <c r="S8">
        <v>57623.095145225103</v>
      </c>
      <c r="T8">
        <v>42228.786150765103</v>
      </c>
      <c r="U8">
        <v>42228.740799710802</v>
      </c>
      <c r="V8">
        <v>0</v>
      </c>
      <c r="W8">
        <v>15490</v>
      </c>
      <c r="X8">
        <v>18000.380810975999</v>
      </c>
      <c r="Y8">
        <v>18000</v>
      </c>
      <c r="AC8" t="s">
        <v>35</v>
      </c>
      <c r="AD8">
        <v>6</v>
      </c>
      <c r="AE8">
        <v>786</v>
      </c>
      <c r="AF8">
        <v>14024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42228.740799710802</v>
      </c>
      <c r="AO8">
        <v>50819.243169289497</v>
      </c>
      <c r="AP8">
        <v>42230.403486160103</v>
      </c>
      <c r="AQ8">
        <v>42230.328285919401</v>
      </c>
      <c r="AR8">
        <v>0</v>
      </c>
      <c r="AS8">
        <v>3312</v>
      </c>
      <c r="AT8">
        <v>18000.134703874501</v>
      </c>
      <c r="AU8">
        <v>18000</v>
      </c>
    </row>
    <row r="9" spans="1:47" x14ac:dyDescent="0.35">
      <c r="A9">
        <f t="shared" si="0"/>
        <v>36.19958978533522</v>
      </c>
      <c r="B9">
        <f t="shared" si="1"/>
        <v>24.17782150088247</v>
      </c>
      <c r="C9">
        <f t="shared" si="2"/>
        <v>5.6367183770949562E-2</v>
      </c>
      <c r="D9">
        <f t="shared" si="3"/>
        <v>0</v>
      </c>
      <c r="E9">
        <f t="shared" si="4"/>
        <v>0</v>
      </c>
      <c r="G9" t="s">
        <v>34</v>
      </c>
      <c r="H9">
        <v>6</v>
      </c>
      <c r="I9">
        <v>786</v>
      </c>
      <c r="J9">
        <v>14024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42259.519524146002</v>
      </c>
      <c r="S9">
        <v>57557.2922371405</v>
      </c>
      <c r="T9">
        <v>42259.519524145901</v>
      </c>
      <c r="U9">
        <v>42259.519524146002</v>
      </c>
      <c r="V9">
        <v>0</v>
      </c>
      <c r="W9">
        <v>14753</v>
      </c>
      <c r="X9">
        <v>18000.3586690425</v>
      </c>
      <c r="Y9">
        <v>18000</v>
      </c>
      <c r="AC9" t="s">
        <v>35</v>
      </c>
      <c r="AD9">
        <v>6</v>
      </c>
      <c r="AE9">
        <v>786</v>
      </c>
      <c r="AF9">
        <v>14024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42259.519524146002</v>
      </c>
      <c r="AO9">
        <v>52476.9507218246</v>
      </c>
      <c r="AP9">
        <v>42283.340025176898</v>
      </c>
      <c r="AQ9">
        <v>42283.340025176898</v>
      </c>
      <c r="AR9">
        <v>0</v>
      </c>
      <c r="AS9">
        <v>3043</v>
      </c>
      <c r="AT9">
        <v>18000.409446000998</v>
      </c>
      <c r="AU9">
        <v>18000</v>
      </c>
    </row>
    <row r="10" spans="1:47" x14ac:dyDescent="0.35">
      <c r="A10">
        <f t="shared" si="0"/>
        <v>40.314543597226987</v>
      </c>
      <c r="B10">
        <f t="shared" si="1"/>
        <v>23.536324200148524</v>
      </c>
      <c r="C10">
        <f t="shared" si="2"/>
        <v>0.15502491298921758</v>
      </c>
      <c r="D10">
        <f t="shared" si="3"/>
        <v>0</v>
      </c>
      <c r="E10">
        <f t="shared" si="4"/>
        <v>0</v>
      </c>
      <c r="G10" t="s">
        <v>34</v>
      </c>
      <c r="H10">
        <v>6</v>
      </c>
      <c r="I10">
        <v>786</v>
      </c>
      <c r="J10">
        <v>14024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42472.380574649898</v>
      </c>
      <c r="S10">
        <v>59594.926958197299</v>
      </c>
      <c r="T10">
        <v>42472.38057465</v>
      </c>
      <c r="U10">
        <v>42472.380574649898</v>
      </c>
      <c r="V10">
        <v>0</v>
      </c>
      <c r="W10">
        <v>14909</v>
      </c>
      <c r="X10">
        <v>18000.800271034201</v>
      </c>
      <c r="Y10">
        <v>18000</v>
      </c>
      <c r="AC10" t="s">
        <v>35</v>
      </c>
      <c r="AD10">
        <v>6</v>
      </c>
      <c r="AE10">
        <v>786</v>
      </c>
      <c r="AF10">
        <v>14024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42472.380574649898</v>
      </c>
      <c r="AO10">
        <v>52468.817762220402</v>
      </c>
      <c r="AP10">
        <v>42538.239841112001</v>
      </c>
      <c r="AQ10">
        <v>42538.223345680199</v>
      </c>
      <c r="AR10">
        <v>0</v>
      </c>
      <c r="AS10">
        <v>2922</v>
      </c>
      <c r="AT10">
        <v>18000.262748002999</v>
      </c>
      <c r="AU10">
        <v>18000</v>
      </c>
    </row>
    <row r="11" spans="1:47" x14ac:dyDescent="0.35">
      <c r="A11">
        <f t="shared" si="0"/>
        <v>80.422679454312672</v>
      </c>
      <c r="B11">
        <f t="shared" si="1"/>
        <v>20.307051032209809</v>
      </c>
      <c r="C11">
        <f t="shared" si="2"/>
        <v>0.11003859867541274</v>
      </c>
      <c r="D11">
        <f t="shared" si="3"/>
        <v>0</v>
      </c>
      <c r="E11">
        <f t="shared" si="4"/>
        <v>0</v>
      </c>
      <c r="G11" t="s">
        <v>34</v>
      </c>
      <c r="H11">
        <v>6</v>
      </c>
      <c r="I11">
        <v>786</v>
      </c>
      <c r="J11">
        <v>14024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42508.170682525</v>
      </c>
      <c r="S11">
        <v>76694.380532424198</v>
      </c>
      <c r="T11">
        <v>42508.170682525102</v>
      </c>
      <c r="U11">
        <v>42508.170682525</v>
      </c>
      <c r="V11">
        <v>0</v>
      </c>
      <c r="W11">
        <v>14789</v>
      </c>
      <c r="X11">
        <v>18000.6335260868</v>
      </c>
      <c r="Y11">
        <v>18000</v>
      </c>
      <c r="AC11" t="s">
        <v>35</v>
      </c>
      <c r="AD11">
        <v>6</v>
      </c>
      <c r="AE11">
        <v>786</v>
      </c>
      <c r="AF11">
        <v>14024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42508.170682525</v>
      </c>
      <c r="AO11">
        <v>51140.326595884202</v>
      </c>
      <c r="AP11">
        <v>42554.946075682601</v>
      </c>
      <c r="AQ11">
        <v>42554.946077866603</v>
      </c>
      <c r="AR11">
        <v>0</v>
      </c>
      <c r="AS11">
        <v>3193</v>
      </c>
      <c r="AT11">
        <v>18000.097907066302</v>
      </c>
      <c r="AU11">
        <v>18000</v>
      </c>
    </row>
    <row r="13" spans="1:47" x14ac:dyDescent="0.35">
      <c r="A13" s="1">
        <f t="shared" ref="A13:B13" si="5">AVERAGE(A2:A11)</f>
        <v>43.780666463162291</v>
      </c>
      <c r="B13" s="1">
        <f t="shared" si="5"/>
        <v>22.1971747502837</v>
      </c>
      <c r="C13" s="1">
        <f>AVERAGE(C2:C11)</f>
        <v>5.4784876820177152E-2</v>
      </c>
      <c r="D13" s="1">
        <f t="shared" ref="D13:E13" si="6">AVERAGE(D2:D11)</f>
        <v>0</v>
      </c>
      <c r="E13" s="1">
        <f t="shared" si="6"/>
        <v>0</v>
      </c>
      <c r="F13" t="s">
        <v>25</v>
      </c>
    </row>
    <row r="14" spans="1:47" x14ac:dyDescent="0.35">
      <c r="A14" s="1">
        <f t="shared" ref="A14:B14" si="7">_xlfn.STDEV.S(A2:A11)/SQRT(COUNT(A2:A11))</f>
        <v>4.2340224504018291</v>
      </c>
      <c r="B14" s="1">
        <f t="shared" si="7"/>
        <v>0.61932630658084886</v>
      </c>
      <c r="C14" s="1">
        <f>_xlfn.STDEV.S(C2:C11)/SQRT(COUNT(C2:C11))</f>
        <v>1.6257545635553802E-2</v>
      </c>
      <c r="D14" s="1">
        <f t="shared" ref="D14:E14" si="8">_xlfn.STDEV.S(D2:D11)/SQRT(COUNT(D2:D11))</f>
        <v>0</v>
      </c>
      <c r="E14" s="1">
        <f t="shared" si="8"/>
        <v>0</v>
      </c>
      <c r="F14" t="s">
        <v>26</v>
      </c>
    </row>
    <row r="15" spans="1:47" x14ac:dyDescent="0.35">
      <c r="A15" s="1">
        <f t="shared" ref="A15:B15" si="9">MAX(A2:A11)</f>
        <v>80.422679454312672</v>
      </c>
      <c r="B15" s="1">
        <f t="shared" si="9"/>
        <v>24.922262202482816</v>
      </c>
      <c r="C15" s="1">
        <f>MAX(C2:C11)</f>
        <v>0.15502491298921758</v>
      </c>
      <c r="D15" s="1">
        <f t="shared" ref="D15:E15" si="10">MAX(D2:D11)</f>
        <v>0</v>
      </c>
      <c r="E15" s="1">
        <f t="shared" si="10"/>
        <v>0</v>
      </c>
      <c r="F15" t="s">
        <v>27</v>
      </c>
    </row>
    <row r="16" spans="1:47" x14ac:dyDescent="0.35">
      <c r="A16" s="1">
        <f t="shared" ref="A16:B16" si="11">MIN(A2:A11)</f>
        <v>36.19958978533522</v>
      </c>
      <c r="B16" s="1">
        <f t="shared" si="11"/>
        <v>20.307051032209809</v>
      </c>
      <c r="C16" s="1">
        <f>MIN(C2:C11)</f>
        <v>0</v>
      </c>
      <c r="D16" s="1">
        <f t="shared" ref="D16:E16" si="12">MIN(D2:D11)</f>
        <v>0</v>
      </c>
      <c r="E16" s="1">
        <f t="shared" si="12"/>
        <v>0</v>
      </c>
      <c r="F16" t="s">
        <v>28</v>
      </c>
    </row>
    <row r="17" spans="1:6" x14ac:dyDescent="0.35">
      <c r="A17" s="1">
        <f t="shared" ref="A17:C17" si="13">SUM(A2:A11)</f>
        <v>437.80666463162288</v>
      </c>
      <c r="B17" s="1">
        <f t="shared" si="13"/>
        <v>221.97174750283702</v>
      </c>
      <c r="C17" s="1">
        <f t="shared" si="13"/>
        <v>0.54784876820177153</v>
      </c>
      <c r="D17" s="1">
        <f>SUM(D2:D11)</f>
        <v>0</v>
      </c>
      <c r="E17" s="1">
        <f>SUM(E2:E11)</f>
        <v>0</v>
      </c>
      <c r="F17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000-36B1-47B7-B1C9-508FBE0DA0F5}">
  <dimension ref="A1:AU17"/>
  <sheetViews>
    <sheetView workbookViewId="0">
      <pane ySplit="1" topLeftCell="A2" activePane="bottomLeft" state="frozen"/>
      <selection pane="bottomLeft" activeCell="E10" sqref="E10"/>
    </sheetView>
  </sheetViews>
  <sheetFormatPr defaultRowHeight="14.5" x14ac:dyDescent="0.35"/>
  <sheetData>
    <row r="1" spans="1:47" x14ac:dyDescent="0.35">
      <c r="A1" t="s">
        <v>22</v>
      </c>
      <c r="B1" t="s">
        <v>23</v>
      </c>
      <c r="C1" t="s">
        <v>24</v>
      </c>
      <c r="D1" t="s">
        <v>29</v>
      </c>
      <c r="E1" t="s">
        <v>30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</row>
    <row r="2" spans="1:47" x14ac:dyDescent="0.35">
      <c r="A2">
        <f>(-R2+S2)/R2*100</f>
        <v>92.354381794388019</v>
      </c>
      <c r="B2">
        <f>(AO2-AN2)/AN2*100</f>
        <v>23.627633512323769</v>
      </c>
      <c r="C2">
        <f>(AQ2-AN2)/AN2*100</f>
        <v>0</v>
      </c>
      <c r="D2">
        <f>IF(X2&lt;Y2,1,0)</f>
        <v>0</v>
      </c>
      <c r="E2">
        <f>IF(AT2&lt;AU2,1,0)</f>
        <v>0</v>
      </c>
      <c r="G2" t="s">
        <v>32</v>
      </c>
      <c r="H2">
        <v>1</v>
      </c>
      <c r="I2">
        <v>1034</v>
      </c>
      <c r="J2">
        <v>26749</v>
      </c>
      <c r="K2">
        <v>3</v>
      </c>
      <c r="L2">
        <v>6</v>
      </c>
      <c r="M2">
        <v>0</v>
      </c>
      <c r="N2" t="s">
        <v>20</v>
      </c>
      <c r="O2" t="b">
        <v>1</v>
      </c>
      <c r="P2">
        <v>0.5</v>
      </c>
      <c r="Q2" t="b">
        <v>0</v>
      </c>
      <c r="R2">
        <v>55719.867547359398</v>
      </c>
      <c r="S2">
        <v>107179.606757375</v>
      </c>
      <c r="T2">
        <v>55719.867547359398</v>
      </c>
      <c r="U2">
        <v>55719.867547359398</v>
      </c>
      <c r="V2">
        <v>0</v>
      </c>
      <c r="W2">
        <v>3613</v>
      </c>
      <c r="X2">
        <v>18000.1920268535</v>
      </c>
      <c r="Y2">
        <v>18000</v>
      </c>
      <c r="AC2" t="s">
        <v>33</v>
      </c>
      <c r="AD2">
        <v>1</v>
      </c>
      <c r="AE2">
        <v>1034</v>
      </c>
      <c r="AF2">
        <v>26749</v>
      </c>
      <c r="AG2">
        <v>3</v>
      </c>
      <c r="AH2">
        <v>6</v>
      </c>
      <c r="AI2">
        <v>0</v>
      </c>
      <c r="AJ2" t="s">
        <v>20</v>
      </c>
      <c r="AK2" t="b">
        <v>1</v>
      </c>
      <c r="AL2">
        <v>0.5</v>
      </c>
      <c r="AM2" t="b">
        <v>1</v>
      </c>
      <c r="AN2">
        <v>55719.867547359398</v>
      </c>
      <c r="AO2">
        <v>68885.153645001701</v>
      </c>
      <c r="AP2">
        <v>55719.867547359398</v>
      </c>
      <c r="AQ2">
        <v>55719.867547359398</v>
      </c>
      <c r="AR2">
        <v>0</v>
      </c>
      <c r="AS2">
        <v>157</v>
      </c>
      <c r="AT2">
        <v>18000.408385991999</v>
      </c>
      <c r="AU2">
        <v>18000</v>
      </c>
    </row>
    <row r="3" spans="1:47" x14ac:dyDescent="0.35">
      <c r="A3">
        <f t="shared" ref="A3:A11" si="0">(-R3+S3)/R3*100</f>
        <v>93.099655456788369</v>
      </c>
      <c r="B3">
        <f t="shared" ref="B3:B11" si="1">(AO3-AN3)/AN3*100</f>
        <v>23.335254452514043</v>
      </c>
      <c r="C3">
        <f t="shared" ref="C3:C11" si="2">(AQ3-AN3)/AN3*100</f>
        <v>0</v>
      </c>
      <c r="D3">
        <f t="shared" ref="D3:D11" si="3">IF(X3&lt;Y3,1,0)</f>
        <v>0</v>
      </c>
      <c r="E3">
        <f t="shared" ref="E3:E11" si="4">IF(AT3&lt;AU3,1,0)</f>
        <v>0</v>
      </c>
      <c r="G3" t="s">
        <v>32</v>
      </c>
      <c r="H3">
        <v>1</v>
      </c>
      <c r="I3">
        <v>1034</v>
      </c>
      <c r="J3">
        <v>26749</v>
      </c>
      <c r="K3">
        <v>3</v>
      </c>
      <c r="L3">
        <v>6</v>
      </c>
      <c r="M3">
        <v>1</v>
      </c>
      <c r="N3" t="s">
        <v>20</v>
      </c>
      <c r="O3" t="b">
        <v>1</v>
      </c>
      <c r="P3">
        <v>0.5</v>
      </c>
      <c r="Q3" t="b">
        <v>0</v>
      </c>
      <c r="R3">
        <v>55426.670290290996</v>
      </c>
      <c r="S3">
        <v>107028.70936172199</v>
      </c>
      <c r="T3">
        <v>55426.670290291098</v>
      </c>
      <c r="U3">
        <v>55426.670290290996</v>
      </c>
      <c r="V3">
        <v>0</v>
      </c>
      <c r="W3">
        <v>1192</v>
      </c>
      <c r="X3">
        <v>18000.098556995301</v>
      </c>
      <c r="Y3">
        <v>18000</v>
      </c>
      <c r="AC3" t="s">
        <v>33</v>
      </c>
      <c r="AD3">
        <v>1</v>
      </c>
      <c r="AE3">
        <v>1034</v>
      </c>
      <c r="AF3">
        <v>26749</v>
      </c>
      <c r="AG3">
        <v>3</v>
      </c>
      <c r="AH3">
        <v>6</v>
      </c>
      <c r="AI3">
        <v>1</v>
      </c>
      <c r="AJ3" t="s">
        <v>20</v>
      </c>
      <c r="AK3" t="b">
        <v>1</v>
      </c>
      <c r="AL3">
        <v>0.5</v>
      </c>
      <c r="AM3" t="b">
        <v>1</v>
      </c>
      <c r="AN3">
        <v>55426.670290290996</v>
      </c>
      <c r="AO3">
        <v>68360.624837086405</v>
      </c>
      <c r="AP3">
        <v>55426.670290291098</v>
      </c>
      <c r="AQ3">
        <v>55426.670290290996</v>
      </c>
      <c r="AR3">
        <v>0</v>
      </c>
      <c r="AS3">
        <v>1236</v>
      </c>
      <c r="AT3">
        <v>18000.2338728904</v>
      </c>
      <c r="AU3">
        <v>18000</v>
      </c>
    </row>
    <row r="4" spans="1:47" x14ac:dyDescent="0.35">
      <c r="A4">
        <f t="shared" si="0"/>
        <v>91.836220423598888</v>
      </c>
      <c r="B4">
        <f t="shared" si="1"/>
        <v>23.222761499803084</v>
      </c>
      <c r="C4">
        <f t="shared" si="2"/>
        <v>0</v>
      </c>
      <c r="D4">
        <f t="shared" si="3"/>
        <v>0</v>
      </c>
      <c r="E4">
        <f t="shared" si="4"/>
        <v>0</v>
      </c>
      <c r="G4" t="s">
        <v>32</v>
      </c>
      <c r="H4">
        <v>1</v>
      </c>
      <c r="I4">
        <v>1034</v>
      </c>
      <c r="J4">
        <v>26749</v>
      </c>
      <c r="K4">
        <v>3</v>
      </c>
      <c r="L4">
        <v>6</v>
      </c>
      <c r="M4">
        <v>2</v>
      </c>
      <c r="N4" t="s">
        <v>20</v>
      </c>
      <c r="O4" t="b">
        <v>1</v>
      </c>
      <c r="P4">
        <v>0.5</v>
      </c>
      <c r="Q4" t="b">
        <v>0</v>
      </c>
      <c r="R4">
        <v>55274.158854862901</v>
      </c>
      <c r="S4">
        <v>106035.857218105</v>
      </c>
      <c r="T4">
        <v>55274.158854862799</v>
      </c>
      <c r="U4">
        <v>55274.158854862901</v>
      </c>
      <c r="V4">
        <v>0</v>
      </c>
      <c r="W4">
        <v>15214</v>
      </c>
      <c r="X4">
        <v>18000.189496040301</v>
      </c>
      <c r="Y4">
        <v>18000</v>
      </c>
      <c r="AC4" t="s">
        <v>33</v>
      </c>
      <c r="AD4">
        <v>1</v>
      </c>
      <c r="AE4">
        <v>1034</v>
      </c>
      <c r="AF4">
        <v>26749</v>
      </c>
      <c r="AG4">
        <v>3</v>
      </c>
      <c r="AH4">
        <v>6</v>
      </c>
      <c r="AI4">
        <v>2</v>
      </c>
      <c r="AJ4" t="s">
        <v>20</v>
      </c>
      <c r="AK4" t="b">
        <v>1</v>
      </c>
      <c r="AL4">
        <v>0.5</v>
      </c>
      <c r="AM4" t="b">
        <v>1</v>
      </c>
      <c r="AN4">
        <v>55274.158854862901</v>
      </c>
      <c r="AO4">
        <v>68110.34493675</v>
      </c>
      <c r="AP4">
        <v>55274.158854862799</v>
      </c>
      <c r="AQ4">
        <v>55274.158854862901</v>
      </c>
      <c r="AR4">
        <v>0</v>
      </c>
      <c r="AS4">
        <v>255</v>
      </c>
      <c r="AT4">
        <v>18000.455578088699</v>
      </c>
      <c r="AU4">
        <v>18000</v>
      </c>
    </row>
    <row r="5" spans="1:47" x14ac:dyDescent="0.35">
      <c r="A5">
        <f t="shared" si="0"/>
        <v>92.223397989624104</v>
      </c>
      <c r="B5">
        <f t="shared" si="1"/>
        <v>24.51691130576484</v>
      </c>
      <c r="C5">
        <f t="shared" si="2"/>
        <v>0</v>
      </c>
      <c r="D5">
        <f t="shared" si="3"/>
        <v>0</v>
      </c>
      <c r="E5">
        <f t="shared" si="4"/>
        <v>0</v>
      </c>
      <c r="G5" t="s">
        <v>32</v>
      </c>
      <c r="H5">
        <v>1</v>
      </c>
      <c r="I5">
        <v>1034</v>
      </c>
      <c r="J5">
        <v>26749</v>
      </c>
      <c r="K5">
        <v>3</v>
      </c>
      <c r="L5">
        <v>6</v>
      </c>
      <c r="M5">
        <v>3</v>
      </c>
      <c r="N5" t="s">
        <v>20</v>
      </c>
      <c r="O5" t="b">
        <v>1</v>
      </c>
      <c r="P5">
        <v>0.5</v>
      </c>
      <c r="Q5" t="b">
        <v>0</v>
      </c>
      <c r="R5">
        <v>55749.615588426197</v>
      </c>
      <c r="S5">
        <v>107163.80545022601</v>
      </c>
      <c r="T5">
        <v>55749.615588426197</v>
      </c>
      <c r="U5">
        <v>55749.615588426197</v>
      </c>
      <c r="V5">
        <v>0</v>
      </c>
      <c r="W5">
        <v>2517</v>
      </c>
      <c r="X5">
        <v>18000.1222109794</v>
      </c>
      <c r="Y5">
        <v>18000</v>
      </c>
      <c r="AC5" t="s">
        <v>33</v>
      </c>
      <c r="AD5">
        <v>1</v>
      </c>
      <c r="AE5">
        <v>1034</v>
      </c>
      <c r="AF5">
        <v>26749</v>
      </c>
      <c r="AG5">
        <v>3</v>
      </c>
      <c r="AH5">
        <v>6</v>
      </c>
      <c r="AI5">
        <v>3</v>
      </c>
      <c r="AJ5" t="s">
        <v>20</v>
      </c>
      <c r="AK5" t="b">
        <v>1</v>
      </c>
      <c r="AL5">
        <v>0.5</v>
      </c>
      <c r="AM5" t="b">
        <v>1</v>
      </c>
      <c r="AN5">
        <v>55749.615588426197</v>
      </c>
      <c r="AO5">
        <v>69417.699395545496</v>
      </c>
      <c r="AP5">
        <v>55749.615588426197</v>
      </c>
      <c r="AQ5">
        <v>55749.615588426197</v>
      </c>
      <c r="AR5">
        <v>0</v>
      </c>
      <c r="AS5">
        <v>124</v>
      </c>
      <c r="AT5">
        <v>18000.428523063601</v>
      </c>
      <c r="AU5">
        <v>18000</v>
      </c>
    </row>
    <row r="6" spans="1:47" x14ac:dyDescent="0.35">
      <c r="A6">
        <f t="shared" si="0"/>
        <v>91.681600116852053</v>
      </c>
      <c r="B6">
        <f t="shared" si="1"/>
        <v>23.942916069943237</v>
      </c>
      <c r="C6">
        <f t="shared" si="2"/>
        <v>0</v>
      </c>
      <c r="D6">
        <f t="shared" si="3"/>
        <v>0</v>
      </c>
      <c r="E6">
        <f t="shared" si="4"/>
        <v>0</v>
      </c>
      <c r="G6" t="s">
        <v>32</v>
      </c>
      <c r="H6">
        <v>1</v>
      </c>
      <c r="I6">
        <v>1034</v>
      </c>
      <c r="J6">
        <v>26749</v>
      </c>
      <c r="K6">
        <v>3</v>
      </c>
      <c r="L6">
        <v>6</v>
      </c>
      <c r="M6">
        <v>4</v>
      </c>
      <c r="N6" t="s">
        <v>20</v>
      </c>
      <c r="O6" t="b">
        <v>1</v>
      </c>
      <c r="P6">
        <v>0.5</v>
      </c>
      <c r="Q6" t="b">
        <v>0</v>
      </c>
      <c r="R6">
        <v>55995.547354103401</v>
      </c>
      <c r="S6">
        <v>107333.16116253501</v>
      </c>
      <c r="T6">
        <v>55995.547354103503</v>
      </c>
      <c r="U6">
        <v>55995.547354103401</v>
      </c>
      <c r="V6">
        <v>0</v>
      </c>
      <c r="W6">
        <v>1701</v>
      </c>
      <c r="X6">
        <v>18000.194475889199</v>
      </c>
      <c r="Y6">
        <v>18000</v>
      </c>
      <c r="AC6" t="s">
        <v>33</v>
      </c>
      <c r="AD6">
        <v>1</v>
      </c>
      <c r="AE6">
        <v>1034</v>
      </c>
      <c r="AF6">
        <v>26749</v>
      </c>
      <c r="AG6">
        <v>3</v>
      </c>
      <c r="AH6">
        <v>6</v>
      </c>
      <c r="AI6">
        <v>4</v>
      </c>
      <c r="AJ6" t="s">
        <v>20</v>
      </c>
      <c r="AK6" t="b">
        <v>1</v>
      </c>
      <c r="AL6">
        <v>0.5</v>
      </c>
      <c r="AM6" t="b">
        <v>1</v>
      </c>
      <c r="AN6">
        <v>55995.547354103401</v>
      </c>
      <c r="AO6">
        <v>69402.514260001699</v>
      </c>
      <c r="AP6">
        <v>55995.587354103503</v>
      </c>
      <c r="AQ6">
        <v>55995.547354103401</v>
      </c>
      <c r="AR6">
        <v>0</v>
      </c>
      <c r="AS6">
        <v>95</v>
      </c>
      <c r="AT6">
        <v>18000.282174110402</v>
      </c>
      <c r="AU6">
        <v>18000</v>
      </c>
    </row>
    <row r="7" spans="1:47" x14ac:dyDescent="0.35">
      <c r="A7">
        <f t="shared" si="0"/>
        <v>91.254026153602823</v>
      </c>
      <c r="B7">
        <f t="shared" si="1"/>
        <v>23.80819211395918</v>
      </c>
      <c r="C7">
        <f t="shared" si="2"/>
        <v>0</v>
      </c>
      <c r="D7">
        <f t="shared" si="3"/>
        <v>0</v>
      </c>
      <c r="E7">
        <f t="shared" si="4"/>
        <v>0</v>
      </c>
      <c r="G7" t="s">
        <v>32</v>
      </c>
      <c r="H7">
        <v>1</v>
      </c>
      <c r="I7">
        <v>1034</v>
      </c>
      <c r="J7">
        <v>26749</v>
      </c>
      <c r="K7">
        <v>3</v>
      </c>
      <c r="L7">
        <v>6</v>
      </c>
      <c r="M7">
        <v>5</v>
      </c>
      <c r="N7" t="s">
        <v>20</v>
      </c>
      <c r="O7" t="b">
        <v>1</v>
      </c>
      <c r="P7">
        <v>0.5</v>
      </c>
      <c r="Q7" t="b">
        <v>0</v>
      </c>
      <c r="R7">
        <v>56113.774167974203</v>
      </c>
      <c r="S7">
        <v>107319.85232299101</v>
      </c>
      <c r="T7">
        <v>56113.774167974298</v>
      </c>
      <c r="U7">
        <v>56113.774167974203</v>
      </c>
      <c r="V7">
        <v>0</v>
      </c>
      <c r="W7">
        <v>6717</v>
      </c>
      <c r="X7">
        <v>18000.3817739486</v>
      </c>
      <c r="Y7">
        <v>18000</v>
      </c>
      <c r="AC7" t="s">
        <v>33</v>
      </c>
      <c r="AD7">
        <v>1</v>
      </c>
      <c r="AE7">
        <v>1034</v>
      </c>
      <c r="AF7">
        <v>26749</v>
      </c>
      <c r="AG7">
        <v>3</v>
      </c>
      <c r="AH7">
        <v>6</v>
      </c>
      <c r="AI7">
        <v>5</v>
      </c>
      <c r="AJ7" t="s">
        <v>20</v>
      </c>
      <c r="AK7" t="b">
        <v>1</v>
      </c>
      <c r="AL7">
        <v>0.5</v>
      </c>
      <c r="AM7" t="b">
        <v>1</v>
      </c>
      <c r="AN7">
        <v>56113.774167974203</v>
      </c>
      <c r="AO7">
        <v>69473.449324278699</v>
      </c>
      <c r="AP7">
        <v>56113.774167974298</v>
      </c>
      <c r="AQ7">
        <v>56113.774167974203</v>
      </c>
      <c r="AR7">
        <v>0</v>
      </c>
      <c r="AS7">
        <v>95</v>
      </c>
      <c r="AT7">
        <v>18000.327647924401</v>
      </c>
      <c r="AU7">
        <v>18000</v>
      </c>
    </row>
    <row r="8" spans="1:47" x14ac:dyDescent="0.35">
      <c r="A8">
        <f t="shared" si="0"/>
        <v>92.002977985778827</v>
      </c>
      <c r="B8">
        <f t="shared" si="1"/>
        <v>23.375851902095089</v>
      </c>
      <c r="C8">
        <f t="shared" si="2"/>
        <v>0</v>
      </c>
      <c r="D8">
        <f t="shared" si="3"/>
        <v>0</v>
      </c>
      <c r="E8">
        <f t="shared" si="4"/>
        <v>0</v>
      </c>
      <c r="G8" t="s">
        <v>32</v>
      </c>
      <c r="H8">
        <v>1</v>
      </c>
      <c r="I8">
        <v>1034</v>
      </c>
      <c r="J8">
        <v>26749</v>
      </c>
      <c r="K8">
        <v>3</v>
      </c>
      <c r="L8">
        <v>6</v>
      </c>
      <c r="M8">
        <v>6</v>
      </c>
      <c r="N8" t="s">
        <v>20</v>
      </c>
      <c r="O8" t="b">
        <v>1</v>
      </c>
      <c r="P8">
        <v>0.5</v>
      </c>
      <c r="Q8" t="b">
        <v>0</v>
      </c>
      <c r="R8">
        <v>55643.149025558399</v>
      </c>
      <c r="S8">
        <v>106836.503174137</v>
      </c>
      <c r="T8">
        <v>55643.149025558298</v>
      </c>
      <c r="U8">
        <v>55643.149025558399</v>
      </c>
      <c r="V8">
        <v>0</v>
      </c>
      <c r="W8">
        <v>5710</v>
      </c>
      <c r="X8">
        <v>18000.096714019699</v>
      </c>
      <c r="Y8">
        <v>18000</v>
      </c>
      <c r="AC8" t="s">
        <v>33</v>
      </c>
      <c r="AD8">
        <v>1</v>
      </c>
      <c r="AE8">
        <v>1034</v>
      </c>
      <c r="AF8">
        <v>26749</v>
      </c>
      <c r="AG8">
        <v>3</v>
      </c>
      <c r="AH8">
        <v>6</v>
      </c>
      <c r="AI8">
        <v>6</v>
      </c>
      <c r="AJ8" t="s">
        <v>20</v>
      </c>
      <c r="AK8" t="b">
        <v>1</v>
      </c>
      <c r="AL8">
        <v>0.5</v>
      </c>
      <c r="AM8" t="b">
        <v>1</v>
      </c>
      <c r="AN8">
        <v>55643.149025558399</v>
      </c>
      <c r="AO8">
        <v>68650.209135434998</v>
      </c>
      <c r="AP8">
        <v>55643.229025558401</v>
      </c>
      <c r="AQ8">
        <v>55643.149025558399</v>
      </c>
      <c r="AR8">
        <v>0</v>
      </c>
      <c r="AS8">
        <v>191</v>
      </c>
      <c r="AT8">
        <v>18000.5063960552</v>
      </c>
      <c r="AU8">
        <v>18000</v>
      </c>
    </row>
    <row r="9" spans="1:47" x14ac:dyDescent="0.35">
      <c r="A9">
        <f t="shared" si="0"/>
        <v>91.902716707883116</v>
      </c>
      <c r="B9">
        <f t="shared" si="1"/>
        <v>23.365801657980345</v>
      </c>
      <c r="C9">
        <f t="shared" si="2"/>
        <v>0</v>
      </c>
      <c r="D9">
        <f t="shared" si="3"/>
        <v>0</v>
      </c>
      <c r="E9">
        <f t="shared" si="4"/>
        <v>0</v>
      </c>
      <c r="G9" t="s">
        <v>32</v>
      </c>
      <c r="H9">
        <v>1</v>
      </c>
      <c r="I9">
        <v>1034</v>
      </c>
      <c r="J9">
        <v>26749</v>
      </c>
      <c r="K9">
        <v>3</v>
      </c>
      <c r="L9">
        <v>6</v>
      </c>
      <c r="M9">
        <v>7</v>
      </c>
      <c r="N9" t="s">
        <v>20</v>
      </c>
      <c r="O9" t="b">
        <v>1</v>
      </c>
      <c r="P9">
        <v>0.5</v>
      </c>
      <c r="Q9" t="b">
        <v>0</v>
      </c>
      <c r="R9">
        <v>55598.7356562801</v>
      </c>
      <c r="S9">
        <v>106695.484179636</v>
      </c>
      <c r="T9">
        <v>55598.7356562801</v>
      </c>
      <c r="U9">
        <v>55598.7356562801</v>
      </c>
      <c r="V9">
        <v>0</v>
      </c>
      <c r="W9">
        <v>1457</v>
      </c>
      <c r="X9">
        <v>18000.169622898102</v>
      </c>
      <c r="Y9">
        <v>18000</v>
      </c>
      <c r="AC9" t="s">
        <v>33</v>
      </c>
      <c r="AD9">
        <v>1</v>
      </c>
      <c r="AE9">
        <v>1034</v>
      </c>
      <c r="AF9">
        <v>26749</v>
      </c>
      <c r="AG9">
        <v>3</v>
      </c>
      <c r="AH9">
        <v>6</v>
      </c>
      <c r="AI9">
        <v>7</v>
      </c>
      <c r="AJ9" t="s">
        <v>20</v>
      </c>
      <c r="AK9" t="b">
        <v>1</v>
      </c>
      <c r="AL9">
        <v>0.5</v>
      </c>
      <c r="AM9" t="b">
        <v>1</v>
      </c>
      <c r="AN9">
        <v>55598.7356562801</v>
      </c>
      <c r="AO9">
        <v>68589.825954071304</v>
      </c>
      <c r="AP9">
        <v>55598.815656280101</v>
      </c>
      <c r="AQ9">
        <v>55598.7356562801</v>
      </c>
      <c r="AR9">
        <v>0</v>
      </c>
      <c r="AS9">
        <v>3137</v>
      </c>
      <c r="AT9">
        <v>18000.228667974399</v>
      </c>
      <c r="AU9">
        <v>18000</v>
      </c>
    </row>
    <row r="10" spans="1:47" x14ac:dyDescent="0.35">
      <c r="A10">
        <f t="shared" si="0"/>
        <v>91.915906442565259</v>
      </c>
      <c r="B10">
        <f t="shared" si="1"/>
        <v>24.546904423965778</v>
      </c>
      <c r="C10">
        <f t="shared" si="2"/>
        <v>0</v>
      </c>
      <c r="D10">
        <f t="shared" si="3"/>
        <v>0</v>
      </c>
      <c r="E10">
        <f t="shared" si="4"/>
        <v>0</v>
      </c>
      <c r="G10" t="s">
        <v>32</v>
      </c>
      <c r="H10">
        <v>1</v>
      </c>
      <c r="I10">
        <v>1034</v>
      </c>
      <c r="J10">
        <v>26749</v>
      </c>
      <c r="K10">
        <v>3</v>
      </c>
      <c r="L10">
        <v>6</v>
      </c>
      <c r="M10">
        <v>8</v>
      </c>
      <c r="N10" t="s">
        <v>20</v>
      </c>
      <c r="O10" t="b">
        <v>1</v>
      </c>
      <c r="P10">
        <v>0.5</v>
      </c>
      <c r="Q10" t="b">
        <v>0</v>
      </c>
      <c r="R10">
        <v>55519.766588401901</v>
      </c>
      <c r="S10">
        <v>106551.263302928</v>
      </c>
      <c r="T10">
        <v>55519.766588402003</v>
      </c>
      <c r="U10">
        <v>55519.766588401901</v>
      </c>
      <c r="V10">
        <v>0</v>
      </c>
      <c r="W10">
        <v>2073</v>
      </c>
      <c r="X10">
        <v>18000.135556936199</v>
      </c>
      <c r="Y10">
        <v>18000</v>
      </c>
      <c r="AC10" t="s">
        <v>33</v>
      </c>
      <c r="AD10">
        <v>1</v>
      </c>
      <c r="AE10">
        <v>1034</v>
      </c>
      <c r="AF10">
        <v>26749</v>
      </c>
      <c r="AG10">
        <v>3</v>
      </c>
      <c r="AH10">
        <v>6</v>
      </c>
      <c r="AI10">
        <v>8</v>
      </c>
      <c r="AJ10" t="s">
        <v>20</v>
      </c>
      <c r="AK10" t="b">
        <v>1</v>
      </c>
      <c r="AL10">
        <v>0.5</v>
      </c>
      <c r="AM10" t="b">
        <v>1</v>
      </c>
      <c r="AN10">
        <v>55519.766588401901</v>
      </c>
      <c r="AO10">
        <v>69148.150629265801</v>
      </c>
      <c r="AP10">
        <v>55519.806588402003</v>
      </c>
      <c r="AQ10">
        <v>55519.766588401901</v>
      </c>
      <c r="AR10">
        <v>0</v>
      </c>
      <c r="AS10">
        <v>123</v>
      </c>
      <c r="AT10">
        <v>18000.357308149301</v>
      </c>
      <c r="AU10">
        <v>18000</v>
      </c>
    </row>
    <row r="11" spans="1:47" x14ac:dyDescent="0.35">
      <c r="A11">
        <f t="shared" si="0"/>
        <v>91.973336665748107</v>
      </c>
      <c r="B11">
        <f t="shared" si="1"/>
        <v>23.756109982735776</v>
      </c>
      <c r="C11">
        <f t="shared" si="2"/>
        <v>0</v>
      </c>
      <c r="D11">
        <f t="shared" si="3"/>
        <v>0</v>
      </c>
      <c r="E11">
        <f t="shared" si="4"/>
        <v>0</v>
      </c>
      <c r="G11" t="s">
        <v>32</v>
      </c>
      <c r="H11">
        <v>1</v>
      </c>
      <c r="I11">
        <v>1034</v>
      </c>
      <c r="J11">
        <v>26749</v>
      </c>
      <c r="K11">
        <v>3</v>
      </c>
      <c r="L11">
        <v>6</v>
      </c>
      <c r="M11">
        <v>9</v>
      </c>
      <c r="N11" t="s">
        <v>20</v>
      </c>
      <c r="O11" t="b">
        <v>1</v>
      </c>
      <c r="P11">
        <v>0.5</v>
      </c>
      <c r="Q11" t="b">
        <v>0</v>
      </c>
      <c r="R11">
        <v>55657.078159291901</v>
      </c>
      <c r="S11">
        <v>106846.750033056</v>
      </c>
      <c r="T11">
        <v>55657.078159291901</v>
      </c>
      <c r="U11">
        <v>55657.078159291901</v>
      </c>
      <c r="V11">
        <v>0</v>
      </c>
      <c r="W11">
        <v>1817</v>
      </c>
      <c r="X11">
        <v>18000.069787025401</v>
      </c>
      <c r="Y11">
        <v>18000</v>
      </c>
      <c r="AC11" t="s">
        <v>33</v>
      </c>
      <c r="AD11">
        <v>1</v>
      </c>
      <c r="AE11">
        <v>1034</v>
      </c>
      <c r="AF11">
        <v>26749</v>
      </c>
      <c r="AG11">
        <v>3</v>
      </c>
      <c r="AH11">
        <v>6</v>
      </c>
      <c r="AI11">
        <v>9</v>
      </c>
      <c r="AJ11" t="s">
        <v>20</v>
      </c>
      <c r="AK11" t="b">
        <v>1</v>
      </c>
      <c r="AL11">
        <v>0.5</v>
      </c>
      <c r="AM11" t="b">
        <v>1</v>
      </c>
      <c r="AN11">
        <v>55657.078159291901</v>
      </c>
      <c r="AO11">
        <v>68879.034859990497</v>
      </c>
      <c r="AP11">
        <v>55657.078159291901</v>
      </c>
      <c r="AQ11">
        <v>55657.078159291901</v>
      </c>
      <c r="AR11">
        <v>0</v>
      </c>
      <c r="AS11">
        <v>191</v>
      </c>
      <c r="AT11">
        <v>18000.508677005699</v>
      </c>
      <c r="AU11">
        <v>18000</v>
      </c>
    </row>
    <row r="13" spans="1:47" x14ac:dyDescent="0.35">
      <c r="A13" s="1">
        <f t="shared" ref="A13:B13" si="5">AVERAGE(A2:A11)</f>
        <v>92.024421973682962</v>
      </c>
      <c r="B13" s="1">
        <f t="shared" si="5"/>
        <v>23.749833692108517</v>
      </c>
      <c r="C13" s="1">
        <f>AVERAGE(C2:C11)</f>
        <v>0</v>
      </c>
      <c r="D13" s="1">
        <f t="shared" ref="D13:E13" si="6">AVERAGE(D2:D11)</f>
        <v>0</v>
      </c>
      <c r="E13" s="1">
        <f t="shared" si="6"/>
        <v>0</v>
      </c>
      <c r="F13" t="s">
        <v>25</v>
      </c>
    </row>
    <row r="14" spans="1:47" x14ac:dyDescent="0.35">
      <c r="A14" s="1">
        <f t="shared" ref="A14:B14" si="7">_xlfn.STDEV.S(A2:A11)/SQRT(COUNT(A2:A11))</f>
        <v>0.15204917682132024</v>
      </c>
      <c r="B14" s="1">
        <f t="shared" si="7"/>
        <v>0.14968161124546536</v>
      </c>
      <c r="C14" s="1">
        <f>_xlfn.STDEV.S(C2:C11)/SQRT(COUNT(C2:C11))</f>
        <v>0</v>
      </c>
      <c r="D14" s="1">
        <f t="shared" ref="D14:E14" si="8">_xlfn.STDEV.S(D2:D11)/SQRT(COUNT(D2:D11))</f>
        <v>0</v>
      </c>
      <c r="E14" s="1">
        <f t="shared" si="8"/>
        <v>0</v>
      </c>
      <c r="F14" t="s">
        <v>26</v>
      </c>
    </row>
    <row r="15" spans="1:47" x14ac:dyDescent="0.35">
      <c r="A15" s="1">
        <f t="shared" ref="A15:B15" si="9">MAX(A2:A11)</f>
        <v>93.099655456788369</v>
      </c>
      <c r="B15" s="1">
        <f t="shared" si="9"/>
        <v>24.546904423965778</v>
      </c>
      <c r="C15" s="1">
        <f>MAX(C2:C11)</f>
        <v>0</v>
      </c>
      <c r="D15" s="1">
        <f t="shared" ref="D15:E15" si="10">MAX(D2:D11)</f>
        <v>0</v>
      </c>
      <c r="E15" s="1">
        <f t="shared" si="10"/>
        <v>0</v>
      </c>
      <c r="F15" t="s">
        <v>27</v>
      </c>
    </row>
    <row r="16" spans="1:47" x14ac:dyDescent="0.35">
      <c r="A16" s="1">
        <f t="shared" ref="A16:B16" si="11">MIN(A2:A11)</f>
        <v>91.254026153602823</v>
      </c>
      <c r="B16" s="1">
        <f t="shared" si="11"/>
        <v>23.222761499803084</v>
      </c>
      <c r="C16" s="1">
        <f>MIN(C2:C11)</f>
        <v>0</v>
      </c>
      <c r="D16" s="1">
        <f t="shared" ref="D16:E16" si="12">MIN(D2:D11)</f>
        <v>0</v>
      </c>
      <c r="E16" s="1">
        <f t="shared" si="12"/>
        <v>0</v>
      </c>
      <c r="F16" t="s">
        <v>28</v>
      </c>
    </row>
    <row r="17" spans="1:6" x14ac:dyDescent="0.35">
      <c r="A17" s="1">
        <f t="shared" ref="A17:C17" si="13">SUM(A2:A11)</f>
        <v>920.24421973682956</v>
      </c>
      <c r="B17" s="1">
        <f t="shared" si="13"/>
        <v>237.49833692108515</v>
      </c>
      <c r="C17" s="1">
        <f t="shared" si="13"/>
        <v>0</v>
      </c>
      <c r="D17" s="1">
        <f>SUM(D2:D11)</f>
        <v>0</v>
      </c>
      <c r="E17" s="1">
        <f>SUM(E2:E11)</f>
        <v>0</v>
      </c>
      <c r="F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summary_NLCC_9_logSum50</vt:lpstr>
      <vt:lpstr>summary_NLCC_5_logSum50</vt:lpstr>
      <vt:lpstr>summary_NLCC_3_logSum50</vt:lpstr>
      <vt:lpstr>summary_NLCC_4_logSum50</vt:lpstr>
      <vt:lpstr>summary_NLCC_2_logSum50</vt:lpstr>
      <vt:lpstr>summary_NLCC_0_logSum50</vt:lpstr>
      <vt:lpstr>summary_NLCC_8_logSum50</vt:lpstr>
      <vt:lpstr>summary_NLCC_7_logSum50</vt:lpstr>
      <vt:lpstr>summary_NLCC_6_logSum50</vt:lpstr>
      <vt:lpstr>summary_NLCC_1_logSum50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2025-09-01T15:53:51Z</dcterms:created>
  <dcterms:modified xsi:type="dcterms:W3CDTF">2025-09-01T16:35:22Z</dcterms:modified>
</cp:coreProperties>
</file>